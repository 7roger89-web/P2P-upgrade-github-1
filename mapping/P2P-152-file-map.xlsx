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1.xml" ContentType="application/vnd.openxmlformats-officedocument.spreadsheetml.table+xml"/>
  <Override PartName="/xl/worksheets/sheet14.xml" ContentType="application/vnd.openxmlformats-officedocument.spreadsheetml.worksheet+xml"/>
  <Override PartName="/xl/tables/table12.xml" ContentType="application/vnd.openxmlformats-officedocument.spreadsheetml.table+xml"/>
  <Override PartName="/xl/worksheets/sheet15.xml" ContentType="application/vnd.openxmlformats-officedocument.spreadsheetml.worksheet+xml"/>
  <Override PartName="/xl/tables/table13.xml" ContentType="application/vnd.openxmlformats-officedocument.spreadsheetml.table+xml"/>
  <Override PartName="/xl/worksheets/sheet16.xml" ContentType="application/vnd.openxmlformats-officedocument.spreadsheetml.worksheet+xml"/>
  <Override PartName="/xl/tables/table14.xml" ContentType="application/vnd.openxmlformats-officedocument.spreadsheetml.table+xml"/>
  <Override PartName="/xl/worksheets/sheet1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a867d6fbcc746f9" /></Relationships>
</file>

<file path=xl/workbook.xml><?xml version="1.0" encoding="utf-8"?>
<x:workbook xmlns:x="http://schemas.openxmlformats.org/spreadsheetml/2006/main">
  <x:sheets>
    <x:sheet xmlns:r="http://schemas.openxmlformats.org/officeDocument/2006/relationships" name="Tong_quan" sheetId="1" r:id="Rf399e608ab944f1a"/>
    <x:sheet xmlns:r="http://schemas.openxmlformats.org/officeDocument/2006/relationships" name="Ban_do_152_file" sheetId="2" r:id="Rd843408f1d8c4b43"/>
    <x:sheet xmlns:r="http://schemas.openxmlformats.org/officeDocument/2006/relationships" name="Ma_tran_tinh_nang" sheetId="3" r:id="Red1daf915fb44c44"/>
    <x:sheet xmlns:r="http://schemas.openxmlformats.org/officeDocument/2006/relationships" name="Lo_trinh" sheetId="4" r:id="R6aa14c6b05a046e6"/>
    <x:sheet xmlns:r="http://schemas.openxmlformats.org/officeDocument/2006/relationships" name="Quy_tac_chuyen_doi" sheetId="5" r:id="R2d54f4f0c1fa446c"/>
    <x:sheet xmlns:r="http://schemas.openxmlformats.org/officeDocument/2006/relationships" name="Nguon_Codex" sheetId="6" r:id="Rbb5c623d204940f1"/>
    <x:sheet xmlns:r="http://schemas.openxmlformats.org/officeDocument/2006/relationships" name="Nguon_bo_sung" sheetId="7" r:id="R58044db24abf4b96"/>
    <x:sheet xmlns:r="http://schemas.openxmlformats.org/officeDocument/2006/relationships" name="Idea_compass" sheetId="8" r:id="R64b496e83ce34cfe"/>
    <x:sheet xmlns:r="http://schemas.openxmlformats.org/officeDocument/2006/relationships" name="Quy_trinh_cap_nhat" sheetId="9" r:id="Rf34891fd7f8243e0"/>
    <x:sheet xmlns:r="http://schemas.openxmlformats.org/officeDocument/2006/relationships" name="So_sanh_ban_moi" sheetId="10" r:id="Rb402f4eec43647b2"/>
    <x:sheet xmlns:r="http://schemas.openxmlformats.org/officeDocument/2006/relationships" name="Lich_su_cap_nhat" sheetId="11" r:id="Rb24a302a338046dd"/>
    <x:sheet xmlns:r="http://schemas.openxmlformats.org/officeDocument/2006/relationships" name="Huong_dan_AI" sheetId="12" r:id="R1fb8585de4d842b9"/>
    <x:sheet xmlns:r="http://schemas.openxmlformats.org/officeDocument/2006/relationships" name="Fact_ledger" sheetId="13" r:id="R065bfdd89ef8450b"/>
    <x:sheet xmlns:r="http://schemas.openxmlformats.org/officeDocument/2006/relationships" name="Eval_du_an" sheetId="14" r:id="Rfb2703ea8f674375"/>
    <x:sheet xmlns:r="http://schemas.openxmlformats.org/officeDocument/2006/relationships" name="RAG_kiem_tra" sheetId="15" r:id="Re8eb1a13a4524567"/>
    <x:sheet xmlns:r="http://schemas.openxmlformats.org/officeDocument/2006/relationships" name="Drift_gates" sheetId="16" r:id="Re70cd4037a4a4c4d"/>
    <x:sheet xmlns:r="http://schemas.openxmlformats.org/officeDocument/2006/relationships" name="Gate_bat_buoc" sheetId="17" r:id="Rd34063323d084f7a"/>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yyyy-mm-dd"/>
    <x:numFmt numFmtId="203" formatCode="0%"/>
    <x:numFmt numFmtId="204" formatCode="0.0%"/>
    <x:numFmt numFmtId="205" formatCode="0.0"/>
  </x:numFmts>
  <x:fonts count="23">
    <x:font>
      <x:sz val="11"/>
      <x:name val="Carlito"/>
    </x:font>
    <x:font>
      <x:b/>
      <x:sz val="18"/>
      <x:color rgb="FFFFFFFF"/>
      <x:name val="Carlito"/>
    </x:font>
    <x:font>
      <x:i/>
      <x:sz val="10"/>
      <x:color rgb="FF344054"/>
      <x:name val="Carlito"/>
    </x:font>
    <x:font>
      <x:b/>
      <x:sz val="9"/>
      <x:color rgb="FF101828"/>
      <x:name val="Carlito"/>
    </x:font>
    <x:font>
      <x:b/>
      <x:sz val="11"/>
      <x:color rgb="FFFFFFFF"/>
      <x:name val="Carlito"/>
    </x:font>
    <x:font>
      <x:sz val="9"/>
      <x:color rgb="FF101828"/>
      <x:name val="Carlito"/>
    </x:font>
    <x:font>
      <x:b/>
      <x:sz val="10"/>
      <x:color rgb="FFFFFFFF"/>
      <x:name val="Carlito"/>
    </x:font>
    <x:font>
      <x:b/>
      <x:sz val="20"/>
      <x:color rgb="FF16324F"/>
      <x:name val="Carlito"/>
    </x:font>
    <x:font>
      <x:b/>
      <x:sz val="11"/>
      <x:color rgb="FF101828"/>
      <x:name val="Carlito"/>
    </x:font>
    <x:font>
      <x:sz val="11"/>
      <x:color rgb="FF344054"/>
      <x:name val="Carlito"/>
    </x:font>
    <x:font>
      <x:b/>
      <x:sz val="11"/>
      <x:color rgb="FF16324F"/>
      <x:name val="Carlito"/>
    </x:font>
    <x:font>
      <x:b/>
      <x:sz val="11"/>
      <x:color rgb="FF067647"/>
      <x:name val="Carlito"/>
    </x:font>
    <x:font>
      <x:sz val="10"/>
      <x:color rgb="FFB54708"/>
      <x:name val="Carlito"/>
    </x:font>
    <x:font>
      <x:sz val="11"/>
      <x:color rgb="FF101828"/>
      <x:name val="Carlito"/>
    </x:font>
    <x:font>
      <x:sz val="10"/>
      <x:color rgb="FF101828"/>
      <x:name val="Carlito"/>
    </x:font>
    <x:font>
      <x:sz val="10"/>
      <x:color rgb="FF16324F"/>
      <x:name val="Carlito"/>
    </x:font>
    <x:font>
      <x:b/>
      <x:sz val="13"/>
      <x:color rgb="FF067647"/>
      <x:name val="Carlito"/>
    </x:font>
    <x:font>
      <x:i/>
      <x:sz val="11"/>
      <x:color rgb="FF475569"/>
      <x:name val="Carlito"/>
    </x:font>
    <x:font>
      <x:sz val="11"/>
      <x:color rgb="FF1F2937"/>
      <x:name val="Carlito"/>
    </x:font>
    <x:font>
      <x:i/>
      <x:sz val="10"/>
      <x:color rgb="FF475569"/>
      <x:name val="Carlito"/>
    </x:font>
    <x:font>
      <x:sz val="10"/>
      <x:color rgb="FF1F2937"/>
      <x:name val="Carlito"/>
    </x:font>
    <x:font>
      <x:b/>
      <x:sz val="11"/>
      <x:color rgb="FF1F2937"/>
      <x:name val="Carlito"/>
    </x:font>
    <x:font>
      <x:b/>
      <x:sz val="10"/>
      <x:color rgb="FF1F2937"/>
      <x:name val="Carlito"/>
    </x:font>
  </x:fonts>
  <x:fills count="32">
    <x:fill>
      <x:patternFill patternType="none"/>
    </x:fill>
    <x:fill>
      <x:patternFill patternType="gray125"/>
    </x:fill>
    <x:fill>
      <x:patternFill patternType="solid">
        <x:fgColor rgb="FF16324F"/>
      </x:patternFill>
    </x:fill>
    <x:fill>
      <x:patternFill patternType="solid">
        <x:fgColor rgb="FFEAF2F8"/>
      </x:patternFill>
    </x:fill>
    <x:fill>
      <x:patternFill patternType="solid">
        <x:fgColor rgb="FFFFF5D6"/>
      </x:patternFill>
    </x:fill>
    <x:fill>
      <x:patternFill patternType="solid">
        <x:fgColor rgb="FF0B6E75"/>
      </x:patternFill>
    </x:fill>
    <x:fill>
      <x:patternFill patternType="solid">
        <x:fgColor rgb="FFDDF3F1"/>
      </x:patternFill>
    </x:fill>
    <x:fill>
      <x:patternFill patternType="solid">
        <x:fgColor rgb="FFFFFFFF"/>
      </x:patternFill>
    </x:fill>
    <x:fill>
      <x:patternFill patternType="solid">
        <x:fgColor rgb="FFF2F4F7"/>
      </x:patternFill>
    </x:fill>
    <x:fill>
      <x:patternFill patternType="solid">
        <x:fgColor rgb="FFD1FADF"/>
      </x:patternFill>
    </x:fill>
    <x:fill>
      <x:patternFill patternType="solid">
        <x:fgColor rgb="FFFEF0C7"/>
      </x:patternFill>
    </x:fill>
    <x:fill>
      <x:patternFill patternType="solid">
        <x:fgColor rgb="FF16324F"/>
      </x:patternFill>
    </x:fill>
    <x:fill>
      <x:patternFill patternType="solid">
        <x:fgColor rgb="FFEAF2F8"/>
      </x:patternFill>
    </x:fill>
    <x:fill>
      <x:patternFill patternType="solid">
        <x:fgColor rgb="FF0F766E"/>
      </x:patternFill>
    </x:fill>
    <x:fill>
      <x:patternFill patternType="solid">
        <x:fgColor rgb="FF16324F"/>
      </x:patternFill>
    </x:fill>
    <x:fill>
      <x:patternFill patternType="solid">
        <x:fgColor rgb="FFEAF2F8"/>
      </x:patternFill>
    </x:fill>
    <x:fill>
      <x:patternFill patternType="solid">
        <x:fgColor rgb="FF0F766E"/>
      </x:patternFill>
    </x:fill>
    <x:fill>
      <x:patternFill patternType="solid">
        <x:fgColor rgb="FFFEF3C7"/>
      </x:patternFill>
    </x:fill>
    <x:fill>
      <x:patternFill patternType="solid">
        <x:fgColor rgb="FFF8FAFC"/>
      </x:patternFill>
    </x:fill>
    <x:fill>
      <x:patternFill patternType="solid">
        <x:fgColor rgb="FFFEE2E2"/>
      </x:patternFill>
    </x:fill>
    <x:fill>
      <x:patternFill patternType="solid">
        <x:fgColor rgb="FF16324F"/>
      </x:patternFill>
    </x:fill>
    <x:fill>
      <x:patternFill patternType="solid">
        <x:fgColor rgb="FFEAF2F8"/>
      </x:patternFill>
    </x:fill>
    <x:fill>
      <x:patternFill patternType="solid">
        <x:fgColor rgb="FF0F766E"/>
      </x:patternFill>
    </x:fill>
    <x:fill>
      <x:patternFill patternType="solid">
        <x:fgColor rgb="FFFEF3C7"/>
      </x:patternFill>
    </x:fill>
    <x:fill>
      <x:patternFill patternType="solid">
        <x:fgColor rgb="FFF8FAFC"/>
      </x:patternFill>
    </x:fill>
    <x:fill>
      <x:patternFill patternType="solid">
        <x:fgColor rgb="FFFEE2E2"/>
      </x:patternFill>
    </x:fill>
    <x:fill>
      <x:patternFill patternType="solid">
        <x:fgColor rgb="FF16324F"/>
      </x:patternFill>
    </x:fill>
    <x:fill>
      <x:patternFill patternType="solid">
        <x:fgColor rgb="FFEAF2F8"/>
      </x:patternFill>
    </x:fill>
    <x:fill>
      <x:patternFill patternType="solid">
        <x:fgColor rgb="FF0F766E"/>
      </x:patternFill>
    </x:fill>
    <x:fill>
      <x:patternFill patternType="solid">
        <x:fgColor rgb="FFFEF3C7"/>
      </x:patternFill>
    </x:fill>
    <x:fill>
      <x:patternFill patternType="solid">
        <x:fgColor rgb="FFF8FAFC"/>
      </x:patternFill>
    </x:fill>
    <x:fill>
      <x:patternFill patternType="solid">
        <x:fgColor rgb="FFFEE2E2"/>
      </x:patternFill>
    </x:fill>
  </x:fills>
  <x:borders count="50">
    <x:border/>
    <x:border>
      <x:left style="thin">
        <x:color rgb="FFD0D5DD"/>
      </x:left>
      <x:right style="thin">
        <x:color rgb="FFD0D5DD"/>
      </x:right>
      <x:top style="thin">
        <x:color rgb="FFD0D5DD"/>
      </x:top>
      <x:bottom style="thin">
        <x:color rgb="FFD0D5DD"/>
      </x:bottom>
    </x:border>
    <x:border>
      <x:left style="thin">
        <x:color rgb="FFEAECF0"/>
      </x:left>
      <x:right style="thin">
        <x:color rgb="FFEAECF0"/>
      </x:right>
      <x:top style="thin">
        <x:color rgb="FFEAECF0"/>
      </x:top>
      <x:bottom style="thin">
        <x:color rgb="FFEAECF0"/>
      </x:bottom>
    </x:border>
    <x:border>
      <x:left style="thin">
        <x:color rgb="FF0B6E75"/>
      </x:left>
      <x:top style="thin">
        <x:color rgb="FF0B6E75"/>
      </x:top>
    </x:border>
    <x:border>
      <x:right style="thin">
        <x:color rgb="FF0B6E75"/>
      </x:right>
      <x:top style="thin">
        <x:color rgb="FF0B6E75"/>
      </x:top>
    </x:border>
    <x:border>
      <x:left style="thin">
        <x:color rgb="FF0B6E75"/>
      </x:left>
      <x:bottom style="thin">
        <x:color rgb="FF0B6E75"/>
      </x:bottom>
    </x:border>
    <x:border>
      <x:right style="thin">
        <x:color rgb="FF0B6E75"/>
      </x:right>
      <x:bottom style="thin">
        <x:color rgb="FF0B6E75"/>
      </x:bottom>
    </x:border>
    <x:border>
      <x:left style="thin">
        <x:color rgb="FFD9A441"/>
      </x:left>
      <x:right style="thin">
        <x:color rgb="FFD9A441"/>
      </x:right>
      <x:top style="thin">
        <x:color rgb="FFD9A441"/>
      </x:top>
      <x:bottom style="thin">
        <x:color rgb="FFD9A441"/>
      </x:bottom>
    </x:border>
    <x:border>
      <x:left style="medium">
        <x:color rgb="FF067647"/>
      </x:left>
      <x:top style="medium">
        <x:color rgb="FF067647"/>
      </x:top>
    </x:border>
    <x:border>
      <x:top style="medium">
        <x:color rgb="FF067647"/>
      </x:top>
    </x:border>
    <x:border>
      <x:right style="medium">
        <x:color rgb="FF067647"/>
      </x:right>
      <x:top style="medium">
        <x:color rgb="FF067647"/>
      </x:top>
    </x:border>
    <x:border>
      <x:left style="medium">
        <x:color rgb="FF067647"/>
      </x:left>
    </x:border>
    <x:border>
      <x:right style="medium">
        <x:color rgb="FF067647"/>
      </x:right>
    </x:border>
    <x:border>
      <x:left style="medium">
        <x:color rgb="FF067647"/>
      </x:left>
      <x:bottom style="medium">
        <x:color rgb="FF067647"/>
      </x:bottom>
    </x:border>
    <x:border>
      <x:bottom style="medium">
        <x:color rgb="FF067647"/>
      </x:bottom>
    </x:border>
    <x:border>
      <x:right style="medium">
        <x:color rgb="FF067647"/>
      </x:right>
      <x:bottom style="medium">
        <x:color rgb="FF067647"/>
      </x:bottom>
    </x:border>
    <x:border>
      <x:left style="thin">
        <x:color rgb="FFD9A441"/>
      </x:left>
      <x:top style="thin">
        <x:color rgb="FFD9A441"/>
      </x:top>
    </x:border>
    <x:border>
      <x:top style="thin">
        <x:color rgb="FFD9A441"/>
      </x:top>
    </x:border>
    <x:border>
      <x:right style="thin">
        <x:color rgb="FFD9A441"/>
      </x:right>
      <x:top style="thin">
        <x:color rgb="FFD9A441"/>
      </x:top>
    </x:border>
    <x:border>
      <x:left style="thin">
        <x:color rgb="FFD9A441"/>
      </x:left>
    </x:border>
    <x:border>
      <x:right style="thin">
        <x:color rgb="FFD9A441"/>
      </x:right>
    </x:border>
    <x:border>
      <x:left style="thin">
        <x:color rgb="FFD9A441"/>
      </x:left>
      <x:bottom style="thin">
        <x:color rgb="FFD9A441"/>
      </x:bottom>
    </x:border>
    <x:border>
      <x:bottom style="thin">
        <x:color rgb="FFD9A441"/>
      </x:bottom>
    </x:border>
    <x:border>
      <x:right style="thin">
        <x:color rgb="FFD9A441"/>
      </x:right>
      <x:bottom style="thin">
        <x:color rgb="FFD9A441"/>
      </x:bottom>
    </x:border>
    <x:border>
      <x:left style="medium">
        <x:color rgb="FF0B6E75"/>
      </x:left>
      <x:top style="medium">
        <x:color rgb="FF0B6E75"/>
      </x:top>
    </x:border>
    <x:border>
      <x:top style="medium">
        <x:color rgb="FF0B6E75"/>
      </x:top>
    </x:border>
    <x:border>
      <x:right style="medium">
        <x:color rgb="FF0B6E75"/>
      </x:right>
      <x:top style="medium">
        <x:color rgb="FF0B6E75"/>
      </x:top>
    </x:border>
    <x:border>
      <x:left style="medium">
        <x:color rgb="FF0B6E75"/>
      </x:left>
    </x:border>
    <x:border>
      <x:right style="medium">
        <x:color rgb="FF0B6E75"/>
      </x:right>
    </x:border>
    <x:border>
      <x:left style="medium">
        <x:color rgb="FF0B6E75"/>
      </x:left>
      <x:bottom style="medium">
        <x:color rgb="FF0B6E75"/>
      </x:bottom>
    </x:border>
    <x:border>
      <x:bottom style="medium">
        <x:color rgb="FF0B6E75"/>
      </x:bottom>
    </x:border>
    <x:border>
      <x:right style="medium">
        <x:color rgb="FF0B6E75"/>
      </x:right>
      <x:bottom style="medium">
        <x:color rgb="FF0B6E75"/>
      </x:bottom>
    </x:border>
    <x:border>
      <x:left style="thin">
        <x:color rgb="FFD0D5DD"/>
      </x:left>
      <x:top style="thin">
        <x:color rgb="FFD0D5DD"/>
      </x:top>
    </x:border>
    <x:border>
      <x:top style="thin">
        <x:color rgb="FFD0D5DD"/>
      </x:top>
    </x:border>
    <x:border>
      <x:right style="thin">
        <x:color rgb="FFD0D5DD"/>
      </x:right>
      <x:top style="thin">
        <x:color rgb="FFD0D5DD"/>
      </x:top>
    </x:border>
    <x:border>
      <x:left style="thin">
        <x:color rgb="FFD0D5DD"/>
      </x:left>
    </x:border>
    <x:border>
      <x:right style="thin">
        <x:color rgb="FFD0D5DD"/>
      </x:right>
    </x:border>
    <x:border>
      <x:left style="thin">
        <x:color rgb="FFD0D5DD"/>
      </x:left>
      <x:bottom style="thin">
        <x:color rgb="FFD0D5DD"/>
      </x:bottom>
    </x:border>
    <x:border>
      <x:bottom style="thin">
        <x:color rgb="FFD0D5DD"/>
      </x:bottom>
    </x:border>
    <x:border>
      <x:right style="thin">
        <x:color rgb="FFD0D5DD"/>
      </x:right>
      <x:bottom style="thin">
        <x:color rgb="FFD0D5DD"/>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right style="thin">
        <x:color rgb="FFCBD5E1"/>
      </x:right>
      <x:bottom style="thin">
        <x:color rgb="FFCBD5E1"/>
      </x:bottom>
    </x:border>
    <x:border>
      <x:left style="thin">
        <x:color rgb="FFCBD5E1"/>
      </x:left>
      <x:right style="thin">
        <x:color rgb="FFCBD5E1"/>
      </x:right>
      <x:bottom style="thin">
        <x:color rgb="FFCBD5E1"/>
      </x:bottom>
    </x:border>
    <x:border>
      <x:left style="thin">
        <x:color rgb="FFCBD5E1"/>
      </x:left>
      <x:bottom style="thin">
        <x:color rgb="FFCBD5E1"/>
      </x:bottom>
    </x:border>
    <x:border>
      <x:left style="thin">
        <x:color rgb="FFCBD5E1"/>
      </x:left>
      <x:right style="thin">
        <x:color rgb="FFCBD5E1"/>
      </x:right>
      <x:top style="thin">
        <x:color rgb="FFCBD5E1"/>
      </x:top>
      <x:bottom style="thin">
        <x:color rgb="FFCBD5E1"/>
      </x:bottom>
    </x:border>
    <x:border>
      <x:right style="thin">
        <x:color rgb="FFCBD5E1"/>
      </x:right>
      <x:top style="thin">
        <x:color rgb="FFCBD5E1"/>
      </x:top>
    </x:border>
    <x:border>
      <x:left style="thin">
        <x:color rgb="FFCBD5E1"/>
      </x:left>
      <x:right style="thin">
        <x:color rgb="FFCBD5E1"/>
      </x:right>
      <x:top style="thin">
        <x:color rgb="FFCBD5E1"/>
      </x:top>
    </x:border>
    <x:border>
      <x:left style="thin">
        <x:color rgb="FFCBD5E1"/>
      </x:left>
      <x:top style="thin">
        <x:color rgb="FFCBD5E1"/>
      </x:top>
    </x:border>
  </x:borders>
  <x:cellStyleXfs count="1">
    <x:xf numFmtId="0" fontId="0" fillId="0" borderId="0"/>
  </x:cellStyleXfs>
  <x:cellXfs count="48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horizontal="center" wrapText="1"/>
    </x:xf>
    <x:xf numFmtId="0" fontId="4" fillId="5" borderId="1" xfId="0" applyNumberFormat="1" applyFont="1" applyFill="1" applyBorder="1" applyAlignment="1">
      <x:alignment horizontal="center" vertical="center" wrapText="1"/>
    </x:xf>
    <x:xf numFmtId="0" fontId="5" fillId="0" borderId="0" xfId="0" applyNumberFormat="1" applyFont="1" applyFill="1" applyBorder="1"/>
    <x:xf numFmtId="0" fontId="5" fillId="0" borderId="2" xfId="0" applyNumberFormat="1" applyFont="1" applyFill="1" applyBorder="1"/>
    <x:xf numFmtId="0" fontId="5" fillId="0" borderId="2" xfId="0" applyNumberFormat="1" applyFont="1" applyFill="1" applyBorder="1" applyAlignment="1">
      <x:alignment wrapText="1"/>
    </x:xf>
    <x:xf numFmtId="0" fontId="5" fillId="0" borderId="2" xfId="0" applyNumberFormat="1" applyFont="1" applyFill="1" applyBorder="1" applyAlignment="1">
      <x:alignment vertical="top" wrapText="1"/>
    </x:xf>
    <x:xf numFmtId="0" fontId="5" fillId="0" borderId="2" xfId="0" applyNumberFormat="1" applyFont="1" applyFill="1" applyBorder="1" applyAlignment="1">
      <x:alignment horizontal="center" vertical="top" wrapText="1"/>
    </x:xf>
    <x:xf numFmtId="200" fontId="5" fillId="0" borderId="2" xfId="0" applyNumberFormat="1" applyFont="1" applyFill="1" applyBorder="1" applyAlignment="1">
      <x:alignment horizontal="center" vertical="top" wrapText="1"/>
    </x:xf>
    <x:xf numFmtId="0" fontId="6" fillId="5" borderId="0" xfId="0" applyNumberFormat="1" applyFont="1" applyFill="1" applyBorder="1"/>
    <x:xf numFmtId="0" fontId="6" fillId="5" borderId="0" xfId="0" applyNumberFormat="1" applyFont="1" applyFill="1" applyBorder="1" applyAlignment="1">
      <x:alignment horizontal="center"/>
    </x:xf>
    <x:xf numFmtId="0" fontId="6" fillId="5" borderId="0" xfId="0" applyNumberFormat="1" applyFont="1" applyFill="1" applyBorder="1" applyAlignment="1">
      <x:alignment horizontal="center" vertical="center"/>
    </x:xf>
    <x:xf numFmtId="0" fontId="0" fillId="6" borderId="0" xfId="0" applyNumberFormat="1" applyFont="1" applyFill="1" applyBorder="1"/>
    <x:xf numFmtId="0" fontId="7" fillId="6" borderId="0" xfId="0" applyNumberFormat="1" applyFont="1" applyFill="1" applyBorder="1"/>
    <x:xf numFmtId="0" fontId="7" fillId="6" borderId="3" xfId="0" applyNumberFormat="1" applyFont="1" applyFill="1" applyBorder="1"/>
    <x:xf numFmtId="0" fontId="7" fillId="6" borderId="4" xfId="0" applyNumberFormat="1" applyFont="1" applyFill="1" applyBorder="1"/>
    <x:xf numFmtId="0" fontId="7" fillId="6" borderId="5" xfId="0" applyNumberFormat="1" applyFont="1" applyFill="1" applyBorder="1"/>
    <x:xf numFmtId="0" fontId="7" fillId="6" borderId="6" xfId="0" applyNumberFormat="1" applyFont="1" applyFill="1" applyBorder="1"/>
    <x:xf numFmtId="201" fontId="7" fillId="6" borderId="3" xfId="0" applyNumberFormat="1" applyFont="1" applyFill="1" applyBorder="1"/>
    <x:xf numFmtId="201" fontId="7" fillId="6" borderId="4" xfId="0" applyNumberFormat="1" applyFont="1" applyFill="1" applyBorder="1"/>
    <x:xf numFmtId="201" fontId="7" fillId="6" borderId="5" xfId="0" applyNumberFormat="1" applyFont="1" applyFill="1" applyBorder="1"/>
    <x:xf numFmtId="201" fontId="7" fillId="6" borderId="6" xfId="0" applyNumberFormat="1" applyFont="1" applyFill="1" applyBorder="1"/>
    <x:xf numFmtId="201" fontId="7" fillId="6" borderId="3" xfId="0" applyNumberFormat="1" applyFont="1" applyFill="1" applyBorder="1" applyAlignment="1">
      <x:alignment horizontal="center"/>
    </x:xf>
    <x:xf numFmtId="201" fontId="7" fillId="6" borderId="4" xfId="0" applyNumberFormat="1" applyFont="1" applyFill="1" applyBorder="1" applyAlignment="1">
      <x:alignment horizontal="center"/>
    </x:xf>
    <x:xf numFmtId="201" fontId="7" fillId="6" borderId="5" xfId="0" applyNumberFormat="1" applyFont="1" applyFill="1" applyBorder="1" applyAlignment="1">
      <x:alignment horizontal="center"/>
    </x:xf>
    <x:xf numFmtId="201" fontId="7" fillId="6" borderId="6" xfId="0" applyNumberFormat="1" applyFont="1" applyFill="1" applyBorder="1" applyAlignment="1">
      <x:alignment horizontal="center"/>
    </x:xf>
    <x:xf numFmtId="201" fontId="7" fillId="6" borderId="3" xfId="0" applyNumberFormat="1" applyFont="1" applyFill="1" applyBorder="1" applyAlignment="1">
      <x:alignment horizontal="center" vertical="center"/>
    </x:xf>
    <x:xf numFmtId="201" fontId="7" fillId="6" borderId="4" xfId="0" applyNumberFormat="1" applyFont="1" applyFill="1" applyBorder="1" applyAlignment="1">
      <x:alignment horizontal="center" vertical="center"/>
    </x:xf>
    <x:xf numFmtId="201" fontId="7" fillId="6" borderId="5" xfId="0" applyNumberFormat="1" applyFont="1" applyFill="1" applyBorder="1" applyAlignment="1">
      <x:alignment horizontal="center" vertical="center"/>
    </x:xf>
    <x:xf numFmtId="201" fontId="7" fillId="6" borderId="6" xfId="0" applyNumberFormat="1" applyFont="1" applyFill="1" applyBorder="1" applyAlignment="1">
      <x:alignment horizontal="center" vertical="center"/>
    </x:xf>
    <x:xf numFmtId="200" fontId="7" fillId="6" borderId="3" xfId="0" applyNumberFormat="1" applyFont="1" applyFill="1" applyBorder="1"/>
    <x:xf numFmtId="200" fontId="7" fillId="6" borderId="4" xfId="0" applyNumberFormat="1" applyFont="1" applyFill="1" applyBorder="1"/>
    <x:xf numFmtId="200" fontId="7" fillId="6" borderId="5" xfId="0" applyNumberFormat="1" applyFont="1" applyFill="1" applyBorder="1"/>
    <x:xf numFmtId="200" fontId="7" fillId="6" borderId="6" xfId="0" applyNumberFormat="1" applyFont="1" applyFill="1" applyBorder="1"/>
    <x:xf numFmtId="200" fontId="7" fillId="6" borderId="3" xfId="0" applyNumberFormat="1" applyFont="1" applyFill="1" applyBorder="1" applyAlignment="1">
      <x:alignment horizontal="center"/>
    </x:xf>
    <x:xf numFmtId="200" fontId="7" fillId="6" borderId="4" xfId="0" applyNumberFormat="1" applyFont="1" applyFill="1" applyBorder="1" applyAlignment="1">
      <x:alignment horizontal="center"/>
    </x:xf>
    <x:xf numFmtId="200" fontId="7" fillId="6" borderId="5" xfId="0" applyNumberFormat="1" applyFont="1" applyFill="1" applyBorder="1" applyAlignment="1">
      <x:alignment horizontal="center"/>
    </x:xf>
    <x:xf numFmtId="200" fontId="7" fillId="6" borderId="6" xfId="0" applyNumberFormat="1" applyFont="1" applyFill="1" applyBorder="1" applyAlignment="1">
      <x:alignment horizontal="center"/>
    </x:xf>
    <x:xf numFmtId="200" fontId="7" fillId="6" borderId="3" xfId="0" applyNumberFormat="1" applyFont="1" applyFill="1" applyBorder="1" applyAlignment="1">
      <x:alignment horizontal="center" vertical="center"/>
    </x:xf>
    <x:xf numFmtId="200" fontId="7" fillId="6" borderId="4" xfId="0" applyNumberFormat="1" applyFont="1" applyFill="1" applyBorder="1" applyAlignment="1">
      <x:alignment horizontal="center" vertical="center"/>
    </x:xf>
    <x:xf numFmtId="200" fontId="7" fillId="6" borderId="5" xfId="0" applyNumberFormat="1" applyFont="1" applyFill="1" applyBorder="1" applyAlignment="1">
      <x:alignment horizontal="center" vertical="center"/>
    </x:xf>
    <x:xf numFmtId="200" fontId="7" fillId="6" borderId="6" xfId="0" applyNumberFormat="1" applyFont="1" applyFill="1" applyBorder="1" applyAlignment="1">
      <x:alignment horizontal="center" vertical="center"/>
    </x:xf>
    <x:xf numFmtId="0" fontId="4" fillId="5" borderId="0" xfId="0" applyNumberFormat="1" applyFont="1" applyFill="1" applyBorder="1" applyAlignment="1">
      <x:alignment horizontal="left"/>
    </x:xf>
    <x:xf numFmtId="0" fontId="4" fillId="5" borderId="0" xfId="0" applyNumberFormat="1" applyFont="1" applyFill="1" applyBorder="1" applyAlignment="1">
      <x:alignment horizontal="left" vertical="center"/>
    </x:xf>
    <x:xf numFmtId="0" fontId="8" fillId="4" borderId="0" xfId="0" applyNumberFormat="1" applyFont="1" applyFill="1" applyBorder="1"/>
    <x:xf numFmtId="0" fontId="8" fillId="4" borderId="0" xfId="0" applyNumberFormat="1" applyFont="1" applyFill="1" applyBorder="1" applyAlignment="1">
      <x:alignment vertical="center"/>
    </x:xf>
    <x:xf numFmtId="0" fontId="0" fillId="7" borderId="0" xfId="0" applyNumberFormat="1" applyFont="1" applyFill="1" applyBorder="1"/>
    <x:xf numFmtId="0" fontId="9" fillId="7" borderId="0" xfId="0" applyNumberFormat="1" applyFont="1" applyFill="1" applyBorder="1"/>
    <x:xf numFmtId="0" fontId="9" fillId="7" borderId="0" xfId="0" applyNumberFormat="1" applyFont="1" applyFill="1" applyBorder="1" applyAlignment="1">
      <x:alignment wrapText="1"/>
    </x:xf>
    <x:xf numFmtId="0" fontId="9" fillId="7" borderId="0" xfId="0" applyNumberFormat="1" applyFont="1" applyFill="1" applyBorder="1" applyAlignment="1">
      <x:alignment vertical="center" wrapText="1"/>
    </x:xf>
    <x:xf numFmtId="0" fontId="0" fillId="8" borderId="0" xfId="0" applyNumberFormat="1" applyFont="1" applyFill="1" applyBorder="1"/>
    <x:xf numFmtId="0" fontId="9" fillId="8" borderId="0" xfId="0" applyNumberFormat="1" applyFont="1" applyFill="1" applyBorder="1"/>
    <x:xf numFmtId="0" fontId="9" fillId="8" borderId="0" xfId="0" applyNumberFormat="1" applyFont="1" applyFill="1" applyBorder="1" applyAlignment="1">
      <x:alignment wrapText="1"/>
    </x:xf>
    <x:xf numFmtId="0" fontId="9" fillId="8" borderId="0" xfId="0" applyNumberFormat="1" applyFont="1" applyFill="1" applyBorder="1" applyAlignment="1">
      <x:alignment vertical="center" wrapText="1"/>
    </x:xf>
    <x:xf numFmtId="0" fontId="0" fillId="0" borderId="1" xfId="0" applyNumberFormat="1" applyFont="1" applyFill="1" applyBorder="1"/>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201" fontId="0" fillId="0" borderId="1" xfId="0" applyNumberFormat="1" applyFont="1" applyFill="1" applyBorder="1" applyAlignment="1">
      <x:alignment vertical="center" wrapText="1"/>
    </x:xf>
    <x:xf numFmtId="201" fontId="0" fillId="0" borderId="1" xfId="0" applyNumberFormat="1" applyFont="1" applyFill="1" applyBorder="1" applyAlignment="1">
      <x:alignment horizontal="center" vertical="center" wrapText="1"/>
    </x:xf>
    <x:xf numFmtId="0" fontId="0" fillId="0" borderId="1" xfId="0" applyNumberFormat="1" applyFont="1" applyFill="1" applyBorder="1" applyAlignment="1">
      <x:alignment horizontal="center" vertical="center" wrapText="1"/>
    </x:xf>
    <x:xf numFmtId="0" fontId="10" fillId="4" borderId="0" xfId="0" applyNumberFormat="1" applyFont="1" applyFill="1" applyBorder="1"/>
    <x:xf numFmtId="0" fontId="10" fillId="4" borderId="0" xfId="0" applyNumberFormat="1" applyFont="1" applyFill="1" applyBorder="1" applyAlignment="1">
      <x:alignment vertical="center"/>
    </x:xf>
    <x:xf numFmtId="0" fontId="10" fillId="6" borderId="0" xfId="0" applyNumberFormat="1" applyFont="1" applyFill="1" applyBorder="1"/>
    <x:xf numFmtId="0" fontId="10" fillId="6" borderId="0" xfId="0" applyNumberFormat="1" applyFont="1" applyFill="1" applyBorder="1" applyAlignment="1">
      <x:alignment vertical="center"/>
    </x:xf>
    <x:xf numFmtId="0" fontId="0" fillId="0" borderId="1" xfId="0" applyNumberFormat="1" applyFont="1" applyFill="1" applyBorder="1" applyAlignment="1">
      <x:alignment horizontal="center" wrapText="1"/>
    </x:xf>
    <x:xf numFmtId="0" fontId="0" fillId="9" borderId="0" xfId="0" applyNumberFormat="1" applyFont="1" applyFill="1" applyBorder="1"/>
    <x:xf numFmtId="0" fontId="11" fillId="9" borderId="0" xfId="0" applyNumberFormat="1" applyFont="1" applyFill="1" applyBorder="1"/>
    <x:xf numFmtId="0" fontId="11" fillId="9" borderId="0" xfId="0" applyNumberFormat="1" applyFont="1" applyFill="1" applyBorder="1" applyAlignment="1">
      <x:alignment wrapText="1"/>
    </x:xf>
    <x:xf numFmtId="0" fontId="11" fillId="9" borderId="0" xfId="0" applyNumberFormat="1" applyFont="1" applyFill="1" applyBorder="1" applyAlignment="1">
      <x:alignment vertical="center" wrapText="1"/>
    </x:xf>
    <x:xf numFmtId="0" fontId="0" fillId="10" borderId="0" xfId="0" applyNumberFormat="1" applyFont="1" applyFill="1" applyBorder="1"/>
    <x:xf numFmtId="0" fontId="12" fillId="10" borderId="0" xfId="0" applyNumberFormat="1" applyFont="1" applyFill="1" applyBorder="1"/>
    <x:xf numFmtId="0" fontId="12" fillId="10" borderId="0" xfId="0" applyNumberFormat="1" applyFont="1" applyFill="1" applyBorder="1" applyAlignment="1">
      <x:alignment wrapText="1"/>
    </x:xf>
    <x:xf numFmtId="0" fontId="12" fillId="10" borderId="0" xfId="0" applyNumberFormat="1" applyFont="1" applyFill="1" applyBorder="1" applyAlignment="1">
      <x:alignment vertical="center" wrapText="1"/>
    </x:xf>
    <x:xf numFmtId="0" fontId="0" fillId="0" borderId="1" xfId="0" applyNumberFormat="1" applyFont="1" applyFill="1" applyBorder="1" applyAlignment="1">
      <x:alignment vertical="top" wrapText="1"/>
    </x:xf>
    <x:xf numFmtId="0" fontId="0" fillId="4" borderId="1" xfId="0" applyNumberFormat="1" applyFont="1" applyFill="1" applyBorder="1" applyAlignment="1">
      <x:alignment vertical="top" wrapText="1"/>
    </x:xf>
    <x:xf numFmtId="0" fontId="8" fillId="4" borderId="1" xfId="0" applyNumberFormat="1" applyFont="1" applyFill="1" applyBorder="1" applyAlignment="1">
      <x:alignment vertical="top" wrapText="1"/>
    </x:xf>
    <x:xf numFmtId="0" fontId="8" fillId="4" borderId="7" xfId="0" applyNumberFormat="1" applyFont="1" applyFill="1" applyBorder="1" applyAlignment="1">
      <x:alignment vertical="top" wrapText="1"/>
    </x:xf>
    <x:xf numFmtId="0" fontId="0" fillId="0" borderId="1" xfId="0" applyNumberFormat="1" applyFont="1" applyFill="1" applyBorder="1" applyAlignment="1">
      <x:alignment horizontal="center" vertical="top" wrapText="1"/>
    </x:xf>
    <x:xf numFmtId="0" fontId="8" fillId="4" borderId="7" xfId="0" applyNumberFormat="1" applyFont="1" applyFill="1" applyBorder="1" applyAlignment="1">
      <x:alignment horizontal="center" vertical="top" wrapText="1"/>
    </x:xf>
    <x:xf numFmtId="0" fontId="10" fillId="6" borderId="1" xfId="0" applyNumberFormat="1" applyFont="1" applyFill="1" applyBorder="1"/>
    <x:xf numFmtId="0" fontId="10" fillId="6" borderId="1" xfId="0" applyNumberFormat="1" applyFont="1" applyFill="1" applyBorder="1" applyAlignment="1">
      <x:alignment vertical="center"/>
    </x:xf>
    <x:xf numFmtId="0" fontId="9" fillId="7" borderId="1" xfId="0" applyNumberFormat="1" applyFont="1" applyFill="1" applyBorder="1"/>
    <x:xf numFmtId="0" fontId="9" fillId="7" borderId="1" xfId="0" applyNumberFormat="1" applyFont="1" applyFill="1" applyBorder="1" applyAlignment="1">
      <x:alignment wrapText="1"/>
    </x:xf>
    <x:xf numFmtId="0" fontId="9" fillId="7" borderId="1" xfId="0" applyNumberFormat="1" applyFont="1" applyFill="1" applyBorder="1" applyAlignment="1">
      <x:alignment vertical="center" wrapText="1"/>
    </x:xf>
    <x:xf numFmtId="0" fontId="9" fillId="8" borderId="1" xfId="0" applyNumberFormat="1" applyFont="1" applyFill="1" applyBorder="1"/>
    <x:xf numFmtId="0" fontId="9" fillId="8" borderId="1" xfId="0" applyNumberFormat="1" applyFont="1" applyFill="1" applyBorder="1" applyAlignment="1">
      <x:alignment wrapText="1"/>
    </x:xf>
    <x:xf numFmtId="0" fontId="9" fillId="8" borderId="1" xfId="0" applyNumberFormat="1" applyFont="1" applyFill="1" applyBorder="1" applyAlignment="1">
      <x:alignment vertical="center" wrapText="1"/>
    </x:xf>
    <x:xf numFmtId="0" fontId="0" fillId="6" borderId="1" xfId="0" applyNumberFormat="1" applyFont="1" applyFill="1" applyBorder="1" applyAlignment="1">
      <x:alignment vertical="top" wrapText="1"/>
    </x:xf>
    <x:xf numFmtId="0" fontId="10" fillId="6" borderId="1" xfId="0" applyNumberFormat="1" applyFont="1" applyFill="1" applyBorder="1" applyAlignment="1">
      <x:alignment vertical="top" wrapText="1"/>
    </x:xf>
    <x:xf numFmtId="0" fontId="0" fillId="4" borderId="1" xfId="0" applyNumberFormat="1" applyFont="1" applyFill="1" applyBorder="1" applyAlignment="1">
      <x:alignment vertical="center" wrapText="1"/>
    </x:xf>
    <x:xf numFmtId="0" fontId="8" fillId="4" borderId="1" xfId="0" applyNumberFormat="1" applyFont="1" applyFill="1" applyBorder="1" applyAlignment="1">
      <x:alignment vertical="center" wrapText="1"/>
    </x:xf>
    <x:xf numFmtId="0" fontId="0" fillId="3" borderId="1" xfId="0" applyNumberFormat="1" applyFont="1" applyFill="1" applyBorder="1" applyAlignment="1">
      <x:alignment vertical="center" wrapText="1"/>
    </x:xf>
    <x:xf numFmtId="0" fontId="10" fillId="3" borderId="1" xfId="0" applyNumberFormat="1" applyFont="1" applyFill="1" applyBorder="1" applyAlignment="1">
      <x:alignment vertical="center" wrapText="1"/>
    </x:xf>
    <x:xf numFmtId="202" fontId="0" fillId="0" borderId="1" xfId="0" applyNumberFormat="1" applyFont="1" applyFill="1" applyBorder="1" applyAlignment="1">
      <x:alignment vertical="top" wrapText="1"/>
    </x:xf>
    <x:xf numFmtId="0" fontId="5" fillId="0" borderId="1" xfId="0" applyNumberFormat="1" applyFont="1" applyFill="1" applyBorder="1"/>
    <x:xf numFmtId="0" fontId="5" fillId="0" borderId="1" xfId="0" applyNumberFormat="1" applyFont="1" applyFill="1" applyBorder="1" applyAlignment="1">
      <x:alignment wrapText="1"/>
    </x:xf>
    <x:xf numFmtId="0" fontId="5" fillId="0" borderId="1" xfId="0" applyNumberFormat="1" applyFont="1" applyFill="1" applyBorder="1" applyAlignment="1">
      <x:alignment vertical="top" wrapText="1"/>
    </x:xf>
    <x:xf numFmtId="202" fontId="5" fillId="0" borderId="1" xfId="0" applyNumberFormat="1" applyFont="1" applyFill="1" applyBorder="1" applyAlignment="1">
      <x:alignment vertical="top" wrapText="1"/>
    </x:xf>
    <x:xf numFmtId="0" fontId="10" fillId="4" borderId="1" xfId="0" applyNumberFormat="1" applyFont="1" applyFill="1" applyBorder="1" applyAlignment="1">
      <x:alignment vertical="center" wrapText="1"/>
    </x:xf>
    <x:xf numFmtId="0" fontId="10" fillId="4" borderId="1" xfId="0" applyNumberFormat="1" applyFont="1" applyFill="1" applyBorder="1" applyAlignment="1">
      <x:alignment horizontal="center" vertical="center" wrapText="1"/>
    </x:xf>
    <x:xf numFmtId="0" fontId="11" fillId="9" borderId="8" xfId="0" applyNumberFormat="1" applyFont="1" applyFill="1" applyBorder="1"/>
    <x:xf numFmtId="0" fontId="11" fillId="9" borderId="9" xfId="0" applyNumberFormat="1" applyFont="1" applyFill="1" applyBorder="1"/>
    <x:xf numFmtId="0" fontId="11" fillId="9" borderId="10" xfId="0" applyNumberFormat="1" applyFont="1" applyFill="1" applyBorder="1"/>
    <x:xf numFmtId="0" fontId="11" fillId="9" borderId="11" xfId="0" applyNumberFormat="1" applyFont="1" applyFill="1" applyBorder="1"/>
    <x:xf numFmtId="0" fontId="11" fillId="9" borderId="12" xfId="0" applyNumberFormat="1" applyFont="1" applyFill="1" applyBorder="1"/>
    <x:xf numFmtId="0" fontId="11" fillId="9" borderId="13" xfId="0" applyNumberFormat="1" applyFont="1" applyFill="1" applyBorder="1"/>
    <x:xf numFmtId="0" fontId="11" fillId="9" borderId="14" xfId="0" applyNumberFormat="1" applyFont="1" applyFill="1" applyBorder="1"/>
    <x:xf numFmtId="0" fontId="11" fillId="9" borderId="15" xfId="0" applyNumberFormat="1" applyFont="1" applyFill="1" applyBorder="1"/>
    <x:xf numFmtId="0" fontId="11" fillId="9" borderId="8" xfId="0" applyNumberFormat="1" applyFont="1" applyFill="1" applyBorder="1" applyAlignment="1">
      <x:alignment wrapText="1"/>
    </x:xf>
    <x:xf numFmtId="0" fontId="11" fillId="9" borderId="9" xfId="0" applyNumberFormat="1" applyFont="1" applyFill="1" applyBorder="1" applyAlignment="1">
      <x:alignment wrapText="1"/>
    </x:xf>
    <x:xf numFmtId="0" fontId="11" fillId="9" borderId="10" xfId="0" applyNumberFormat="1" applyFont="1" applyFill="1" applyBorder="1" applyAlignment="1">
      <x:alignment wrapText="1"/>
    </x:xf>
    <x:xf numFmtId="0" fontId="11" fillId="9" borderId="11" xfId="0" applyNumberFormat="1" applyFont="1" applyFill="1" applyBorder="1" applyAlignment="1">
      <x:alignment wrapText="1"/>
    </x:xf>
    <x:xf numFmtId="0" fontId="11" fillId="9" borderId="12" xfId="0" applyNumberFormat="1" applyFont="1" applyFill="1" applyBorder="1" applyAlignment="1">
      <x:alignment wrapText="1"/>
    </x:xf>
    <x:xf numFmtId="0" fontId="11" fillId="9" borderId="13" xfId="0" applyNumberFormat="1" applyFont="1" applyFill="1" applyBorder="1" applyAlignment="1">
      <x:alignment wrapText="1"/>
    </x:xf>
    <x:xf numFmtId="0" fontId="11" fillId="9" borderId="14" xfId="0" applyNumberFormat="1" applyFont="1" applyFill="1" applyBorder="1" applyAlignment="1">
      <x:alignment wrapText="1"/>
    </x:xf>
    <x:xf numFmtId="0" fontId="11" fillId="9" borderId="15" xfId="0" applyNumberFormat="1" applyFont="1" applyFill="1" applyBorder="1" applyAlignment="1">
      <x:alignment wrapText="1"/>
    </x:xf>
    <x:xf numFmtId="0" fontId="11" fillId="9" borderId="8" xfId="0" applyNumberFormat="1" applyFont="1" applyFill="1" applyBorder="1" applyAlignment="1">
      <x:alignment vertical="center" wrapText="1"/>
    </x:xf>
    <x:xf numFmtId="0" fontId="11" fillId="9" borderId="9" xfId="0" applyNumberFormat="1" applyFont="1" applyFill="1" applyBorder="1" applyAlignment="1">
      <x:alignment vertical="center" wrapText="1"/>
    </x:xf>
    <x:xf numFmtId="0" fontId="11" fillId="9" borderId="10" xfId="0" applyNumberFormat="1" applyFont="1" applyFill="1" applyBorder="1" applyAlignment="1">
      <x:alignment vertical="center" wrapText="1"/>
    </x:xf>
    <x:xf numFmtId="0" fontId="11" fillId="9" borderId="11" xfId="0" applyNumberFormat="1" applyFont="1" applyFill="1" applyBorder="1" applyAlignment="1">
      <x:alignment vertical="center" wrapText="1"/>
    </x:xf>
    <x:xf numFmtId="0" fontId="11" fillId="9" borderId="12" xfId="0" applyNumberFormat="1" applyFont="1" applyFill="1" applyBorder="1" applyAlignment="1">
      <x:alignment vertical="center" wrapText="1"/>
    </x:xf>
    <x:xf numFmtId="0" fontId="11" fillId="9" borderId="13" xfId="0" applyNumberFormat="1" applyFont="1" applyFill="1" applyBorder="1" applyAlignment="1">
      <x:alignment vertical="center" wrapText="1"/>
    </x:xf>
    <x:xf numFmtId="0" fontId="11" fillId="9" borderId="14" xfId="0" applyNumberFormat="1" applyFont="1" applyFill="1" applyBorder="1" applyAlignment="1">
      <x:alignment vertical="center" wrapText="1"/>
    </x:xf>
    <x:xf numFmtId="0" fontId="11" fillId="9" borderId="15" xfId="0" applyNumberFormat="1" applyFont="1" applyFill="1" applyBorder="1" applyAlignment="1">
      <x:alignment vertical="center" wrapText="1"/>
    </x:xf>
    <x:xf numFmtId="203" fontId="0" fillId="0" borderId="1" xfId="0" applyNumberFormat="1" applyFont="1" applyFill="1" applyBorder="1" applyAlignment="1">
      <x:alignment vertical="center" wrapText="1"/>
    </x:xf>
    <x:xf numFmtId="0" fontId="13" fillId="4" borderId="0" xfId="0" applyNumberFormat="1" applyFont="1" applyFill="1" applyBorder="1"/>
    <x:xf numFmtId="0" fontId="13" fillId="4" borderId="16" xfId="0" applyNumberFormat="1" applyFont="1" applyFill="1" applyBorder="1"/>
    <x:xf numFmtId="0" fontId="13" fillId="4" borderId="17" xfId="0" applyNumberFormat="1" applyFont="1" applyFill="1" applyBorder="1"/>
    <x:xf numFmtId="0" fontId="13" fillId="4" borderId="18" xfId="0" applyNumberFormat="1" applyFont="1" applyFill="1" applyBorder="1"/>
    <x:xf numFmtId="0" fontId="13" fillId="4" borderId="19" xfId="0" applyNumberFormat="1" applyFont="1" applyFill="1" applyBorder="1"/>
    <x:xf numFmtId="0" fontId="13" fillId="4" borderId="20" xfId="0" applyNumberFormat="1" applyFont="1" applyFill="1" applyBorder="1"/>
    <x:xf numFmtId="0" fontId="13" fillId="4" borderId="21" xfId="0" applyNumberFormat="1" applyFont="1" applyFill="1" applyBorder="1"/>
    <x:xf numFmtId="0" fontId="13" fillId="4" borderId="22" xfId="0" applyNumberFormat="1" applyFont="1" applyFill="1" applyBorder="1"/>
    <x:xf numFmtId="0" fontId="13" fillId="4" borderId="23" xfId="0" applyNumberFormat="1" applyFont="1" applyFill="1" applyBorder="1"/>
    <x:xf numFmtId="0" fontId="13" fillId="4" borderId="16" xfId="0" applyNumberFormat="1" applyFont="1" applyFill="1" applyBorder="1" applyAlignment="1">
      <x:alignment wrapText="1"/>
    </x:xf>
    <x:xf numFmtId="0" fontId="13" fillId="4" borderId="17" xfId="0" applyNumberFormat="1" applyFont="1" applyFill="1" applyBorder="1" applyAlignment="1">
      <x:alignment wrapText="1"/>
    </x:xf>
    <x:xf numFmtId="0" fontId="13" fillId="4" borderId="18" xfId="0" applyNumberFormat="1" applyFont="1" applyFill="1" applyBorder="1" applyAlignment="1">
      <x:alignment wrapText="1"/>
    </x:xf>
    <x:xf numFmtId="0" fontId="13" fillId="4" borderId="19" xfId="0" applyNumberFormat="1" applyFont="1" applyFill="1" applyBorder="1" applyAlignment="1">
      <x:alignment wrapText="1"/>
    </x:xf>
    <x:xf numFmtId="0" fontId="13" fillId="4" borderId="0" xfId="0" applyNumberFormat="1" applyFont="1" applyFill="1" applyBorder="1" applyAlignment="1">
      <x:alignment wrapText="1"/>
    </x:xf>
    <x:xf numFmtId="0" fontId="13" fillId="4" borderId="20" xfId="0" applyNumberFormat="1" applyFont="1" applyFill="1" applyBorder="1" applyAlignment="1">
      <x:alignment wrapText="1"/>
    </x:xf>
    <x:xf numFmtId="0" fontId="13" fillId="4" borderId="21" xfId="0" applyNumberFormat="1" applyFont="1" applyFill="1" applyBorder="1" applyAlignment="1">
      <x:alignment wrapText="1"/>
    </x:xf>
    <x:xf numFmtId="0" fontId="13" fillId="4" borderId="22" xfId="0" applyNumberFormat="1" applyFont="1" applyFill="1" applyBorder="1" applyAlignment="1">
      <x:alignment wrapText="1"/>
    </x:xf>
    <x:xf numFmtId="0" fontId="13" fillId="4" borderId="23" xfId="0" applyNumberFormat="1" applyFont="1" applyFill="1" applyBorder="1" applyAlignment="1">
      <x:alignment wrapText="1"/>
    </x:xf>
    <x:xf numFmtId="0" fontId="13" fillId="4" borderId="16" xfId="0" applyNumberFormat="1" applyFont="1" applyFill="1" applyBorder="1" applyAlignment="1">
      <x:alignment vertical="top" wrapText="1"/>
    </x:xf>
    <x:xf numFmtId="0" fontId="13" fillId="4" borderId="17" xfId="0" applyNumberFormat="1" applyFont="1" applyFill="1" applyBorder="1" applyAlignment="1">
      <x:alignment vertical="top" wrapText="1"/>
    </x:xf>
    <x:xf numFmtId="0" fontId="13" fillId="4" borderId="18" xfId="0" applyNumberFormat="1" applyFont="1" applyFill="1" applyBorder="1" applyAlignment="1">
      <x:alignment vertical="top" wrapText="1"/>
    </x:xf>
    <x:xf numFmtId="0" fontId="13" fillId="4" borderId="19" xfId="0" applyNumberFormat="1" applyFont="1" applyFill="1" applyBorder="1" applyAlignment="1">
      <x:alignment vertical="top" wrapText="1"/>
    </x:xf>
    <x:xf numFmtId="0" fontId="13" fillId="4" borderId="0" xfId="0" applyNumberFormat="1" applyFont="1" applyFill="1" applyBorder="1" applyAlignment="1">
      <x:alignment vertical="top" wrapText="1"/>
    </x:xf>
    <x:xf numFmtId="0" fontId="13" fillId="4" borderId="20" xfId="0" applyNumberFormat="1" applyFont="1" applyFill="1" applyBorder="1" applyAlignment="1">
      <x:alignment vertical="top" wrapText="1"/>
    </x:xf>
    <x:xf numFmtId="0" fontId="13" fillId="4" borderId="21" xfId="0" applyNumberFormat="1" applyFont="1" applyFill="1" applyBorder="1" applyAlignment="1">
      <x:alignment vertical="top" wrapText="1"/>
    </x:xf>
    <x:xf numFmtId="0" fontId="13" fillId="4" borderId="22" xfId="0" applyNumberFormat="1" applyFont="1" applyFill="1" applyBorder="1" applyAlignment="1">
      <x:alignment vertical="top" wrapText="1"/>
    </x:xf>
    <x:xf numFmtId="0" fontId="13" fillId="4" borderId="23" xfId="0" applyNumberFormat="1" applyFont="1" applyFill="1" applyBorder="1" applyAlignment="1">
      <x:alignment vertical="top" wrapText="1"/>
    </x:xf>
    <x:xf numFmtId="0" fontId="0" fillId="6" borderId="1" xfId="0" applyNumberFormat="1" applyFont="1" applyFill="1" applyBorder="1" applyAlignment="1">
      <x:alignment vertical="center" wrapText="1"/>
    </x:xf>
    <x:xf numFmtId="0" fontId="10" fillId="6" borderId="1" xfId="0" applyNumberFormat="1" applyFont="1" applyFill="1" applyBorder="1" applyAlignment="1">
      <x:alignment vertical="center" wrapText="1"/>
    </x:xf>
    <x:xf numFmtId="0" fontId="10" fillId="3" borderId="0" xfId="0" applyNumberFormat="1" applyFont="1" applyFill="1" applyBorder="1"/>
    <x:xf numFmtId="0" fontId="10" fillId="3" borderId="24" xfId="0" applyNumberFormat="1" applyFont="1" applyFill="1" applyBorder="1"/>
    <x:xf numFmtId="0" fontId="10" fillId="3" borderId="25" xfId="0" applyNumberFormat="1" applyFont="1" applyFill="1" applyBorder="1"/>
    <x:xf numFmtId="0" fontId="10" fillId="3" borderId="26" xfId="0" applyNumberFormat="1" applyFont="1" applyFill="1" applyBorder="1"/>
    <x:xf numFmtId="0" fontId="10" fillId="3" borderId="27" xfId="0" applyNumberFormat="1" applyFont="1" applyFill="1" applyBorder="1"/>
    <x:xf numFmtId="0" fontId="10" fillId="3" borderId="28" xfId="0" applyNumberFormat="1" applyFont="1" applyFill="1" applyBorder="1"/>
    <x:xf numFmtId="0" fontId="10" fillId="3" borderId="29" xfId="0" applyNumberFormat="1" applyFont="1" applyFill="1" applyBorder="1"/>
    <x:xf numFmtId="0" fontId="10" fillId="3" borderId="30" xfId="0" applyNumberFormat="1" applyFont="1" applyFill="1" applyBorder="1"/>
    <x:xf numFmtId="0" fontId="10" fillId="3" borderId="31" xfId="0" applyNumberFormat="1" applyFont="1" applyFill="1" applyBorder="1"/>
    <x:xf numFmtId="0" fontId="10" fillId="3" borderId="24" xfId="0" applyNumberFormat="1" applyFont="1" applyFill="1" applyBorder="1" applyAlignment="1">
      <x:alignment wrapText="1"/>
    </x:xf>
    <x:xf numFmtId="0" fontId="10" fillId="3" borderId="25" xfId="0" applyNumberFormat="1" applyFont="1" applyFill="1" applyBorder="1" applyAlignment="1">
      <x:alignment wrapText="1"/>
    </x:xf>
    <x:xf numFmtId="0" fontId="10" fillId="3" borderId="26" xfId="0" applyNumberFormat="1" applyFont="1" applyFill="1" applyBorder="1" applyAlignment="1">
      <x:alignment wrapText="1"/>
    </x:xf>
    <x:xf numFmtId="0" fontId="10" fillId="3" borderId="27" xfId="0" applyNumberFormat="1" applyFont="1" applyFill="1" applyBorder="1" applyAlignment="1">
      <x:alignment wrapText="1"/>
    </x:xf>
    <x:xf numFmtId="0" fontId="10" fillId="3" borderId="0" xfId="0" applyNumberFormat="1" applyFont="1" applyFill="1" applyBorder="1" applyAlignment="1">
      <x:alignment wrapText="1"/>
    </x:xf>
    <x:xf numFmtId="0" fontId="10" fillId="3" borderId="28" xfId="0" applyNumberFormat="1" applyFont="1" applyFill="1" applyBorder="1" applyAlignment="1">
      <x:alignment wrapText="1"/>
    </x:xf>
    <x:xf numFmtId="0" fontId="10" fillId="3" borderId="29" xfId="0" applyNumberFormat="1" applyFont="1" applyFill="1" applyBorder="1" applyAlignment="1">
      <x:alignment wrapText="1"/>
    </x:xf>
    <x:xf numFmtId="0" fontId="10" fillId="3" borderId="30" xfId="0" applyNumberFormat="1" applyFont="1" applyFill="1" applyBorder="1" applyAlignment="1">
      <x:alignment wrapText="1"/>
    </x:xf>
    <x:xf numFmtId="0" fontId="10" fillId="3" borderId="31" xfId="0" applyNumberFormat="1" applyFont="1" applyFill="1" applyBorder="1" applyAlignment="1">
      <x:alignment wrapText="1"/>
    </x:xf>
    <x:xf numFmtId="0" fontId="10" fillId="3" borderId="24" xfId="0" applyNumberFormat="1" applyFont="1" applyFill="1" applyBorder="1" applyAlignment="1">
      <x:alignment vertical="center" wrapText="1"/>
    </x:xf>
    <x:xf numFmtId="0" fontId="10" fillId="3" borderId="25" xfId="0" applyNumberFormat="1" applyFont="1" applyFill="1" applyBorder="1" applyAlignment="1">
      <x:alignment vertical="center" wrapText="1"/>
    </x:xf>
    <x:xf numFmtId="0" fontId="10" fillId="3" borderId="26" xfId="0" applyNumberFormat="1" applyFont="1" applyFill="1" applyBorder="1" applyAlignment="1">
      <x:alignment vertical="center" wrapText="1"/>
    </x:xf>
    <x:xf numFmtId="0" fontId="10" fillId="3" borderId="27"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3" borderId="28" xfId="0" applyNumberFormat="1" applyFont="1" applyFill="1" applyBorder="1" applyAlignment="1">
      <x:alignment vertical="center" wrapText="1"/>
    </x:xf>
    <x:xf numFmtId="0" fontId="10" fillId="3" borderId="29" xfId="0" applyNumberFormat="1" applyFont="1" applyFill="1" applyBorder="1" applyAlignment="1">
      <x:alignment vertical="center" wrapText="1"/>
    </x:xf>
    <x:xf numFmtId="0" fontId="10" fillId="3" borderId="30" xfId="0" applyNumberFormat="1" applyFont="1" applyFill="1" applyBorder="1" applyAlignment="1">
      <x:alignment vertical="center" wrapText="1"/>
    </x:xf>
    <x:xf numFmtId="0" fontId="10" fillId="3" borderId="31" xfId="0" applyNumberFormat="1" applyFont="1" applyFill="1" applyBorder="1" applyAlignment="1">
      <x:alignment vertical="center" wrapText="1"/>
    </x:xf>
    <x:xf numFmtId="0" fontId="4" fillId="5" borderId="0" xfId="0" applyNumberFormat="1" applyFont="1" applyFill="1" applyBorder="1" applyAlignment="1">
      <x:alignment vertical="center"/>
    </x:xf>
    <x:xf numFmtId="0" fontId="13" fillId="4" borderId="1" xfId="0" applyNumberFormat="1" applyFont="1" applyFill="1" applyBorder="1"/>
    <x:xf numFmtId="0" fontId="13" fillId="4" borderId="1" xfId="0" applyNumberFormat="1" applyFont="1" applyFill="1" applyBorder="1" applyAlignment="1">
      <x:alignment wrapText="1"/>
    </x:xf>
    <x:xf numFmtId="0" fontId="13" fillId="4" borderId="1" xfId="0" applyNumberFormat="1" applyFont="1" applyFill="1" applyBorder="1" applyAlignment="1">
      <x:alignment vertical="center" wrapText="1"/>
    </x:xf>
    <x:xf numFmtId="200" fontId="0" fillId="0" borderId="1" xfId="0" applyNumberFormat="1" applyFont="1" applyFill="1" applyBorder="1" applyAlignment="1">
      <x:alignment vertical="top" wrapText="1"/>
    </x:xf>
    <x:xf numFmtId="0" fontId="14" fillId="8" borderId="0" xfId="0" applyNumberFormat="1" applyFont="1" applyFill="1" applyBorder="1"/>
    <x:xf numFmtId="0" fontId="14" fillId="8" borderId="32" xfId="0" applyNumberFormat="1" applyFont="1" applyFill="1" applyBorder="1"/>
    <x:xf numFmtId="0" fontId="14" fillId="8" borderId="33" xfId="0" applyNumberFormat="1" applyFont="1" applyFill="1" applyBorder="1"/>
    <x:xf numFmtId="0" fontId="14" fillId="8" borderId="34" xfId="0" applyNumberFormat="1" applyFont="1" applyFill="1" applyBorder="1"/>
    <x:xf numFmtId="0" fontId="14" fillId="8" borderId="35" xfId="0" applyNumberFormat="1" applyFont="1" applyFill="1" applyBorder="1"/>
    <x:xf numFmtId="0" fontId="14" fillId="8" borderId="36" xfId="0" applyNumberFormat="1" applyFont="1" applyFill="1" applyBorder="1"/>
    <x:xf numFmtId="0" fontId="14" fillId="8" borderId="37" xfId="0" applyNumberFormat="1" applyFont="1" applyFill="1" applyBorder="1"/>
    <x:xf numFmtId="0" fontId="14" fillId="8" borderId="38" xfId="0" applyNumberFormat="1" applyFont="1" applyFill="1" applyBorder="1"/>
    <x:xf numFmtId="0" fontId="14" fillId="8" borderId="39" xfId="0" applyNumberFormat="1" applyFont="1" applyFill="1" applyBorder="1"/>
    <x:xf numFmtId="0" fontId="14" fillId="8" borderId="32" xfId="0" applyNumberFormat="1" applyFont="1" applyFill="1" applyBorder="1" applyAlignment="1">
      <x:alignment wrapText="1"/>
    </x:xf>
    <x:xf numFmtId="0" fontId="14" fillId="8" borderId="33" xfId="0" applyNumberFormat="1" applyFont="1" applyFill="1" applyBorder="1" applyAlignment="1">
      <x:alignment wrapText="1"/>
    </x:xf>
    <x:xf numFmtId="0" fontId="14" fillId="8" borderId="34" xfId="0" applyNumberFormat="1" applyFont="1" applyFill="1" applyBorder="1" applyAlignment="1">
      <x:alignment wrapText="1"/>
    </x:xf>
    <x:xf numFmtId="0" fontId="14" fillId="8" borderId="35" xfId="0" applyNumberFormat="1" applyFont="1" applyFill="1" applyBorder="1" applyAlignment="1">
      <x:alignment wrapText="1"/>
    </x:xf>
    <x:xf numFmtId="0" fontId="14" fillId="8" borderId="0" xfId="0" applyNumberFormat="1" applyFont="1" applyFill="1" applyBorder="1" applyAlignment="1">
      <x:alignment wrapText="1"/>
    </x:xf>
    <x:xf numFmtId="0" fontId="14" fillId="8" borderId="36" xfId="0" applyNumberFormat="1" applyFont="1" applyFill="1" applyBorder="1" applyAlignment="1">
      <x:alignment wrapText="1"/>
    </x:xf>
    <x:xf numFmtId="0" fontId="14" fillId="8" borderId="37" xfId="0" applyNumberFormat="1" applyFont="1" applyFill="1" applyBorder="1" applyAlignment="1">
      <x:alignment wrapText="1"/>
    </x:xf>
    <x:xf numFmtId="0" fontId="14" fillId="8" borderId="38" xfId="0" applyNumberFormat="1" applyFont="1" applyFill="1" applyBorder="1" applyAlignment="1">
      <x:alignment wrapText="1"/>
    </x:xf>
    <x:xf numFmtId="0" fontId="14" fillId="8" borderId="39" xfId="0" applyNumberFormat="1" applyFont="1" applyFill="1" applyBorder="1" applyAlignment="1">
      <x:alignment wrapText="1"/>
    </x:xf>
    <x:xf numFmtId="0" fontId="14" fillId="8" borderId="32" xfId="0" applyNumberFormat="1" applyFont="1" applyFill="1" applyBorder="1" applyAlignment="1">
      <x:alignment vertical="top" wrapText="1"/>
    </x:xf>
    <x:xf numFmtId="0" fontId="14" fillId="8" borderId="33" xfId="0" applyNumberFormat="1" applyFont="1" applyFill="1" applyBorder="1" applyAlignment="1">
      <x:alignment vertical="top" wrapText="1"/>
    </x:xf>
    <x:xf numFmtId="0" fontId="14" fillId="8" borderId="34" xfId="0" applyNumberFormat="1" applyFont="1" applyFill="1" applyBorder="1" applyAlignment="1">
      <x:alignment vertical="top" wrapText="1"/>
    </x:xf>
    <x:xf numFmtId="0" fontId="14" fillId="8" borderId="35" xfId="0" applyNumberFormat="1" applyFont="1" applyFill="1" applyBorder="1" applyAlignment="1">
      <x:alignment vertical="top" wrapText="1"/>
    </x:xf>
    <x:xf numFmtId="0" fontId="14" fillId="8" borderId="0" xfId="0" applyNumberFormat="1" applyFont="1" applyFill="1" applyBorder="1" applyAlignment="1">
      <x:alignment vertical="top" wrapText="1"/>
    </x:xf>
    <x:xf numFmtId="0" fontId="14" fillId="8" borderId="36" xfId="0" applyNumberFormat="1" applyFont="1" applyFill="1" applyBorder="1" applyAlignment="1">
      <x:alignment vertical="top" wrapText="1"/>
    </x:xf>
    <x:xf numFmtId="0" fontId="14" fillId="8" borderId="37" xfId="0" applyNumberFormat="1" applyFont="1" applyFill="1" applyBorder="1" applyAlignment="1">
      <x:alignment vertical="top" wrapText="1"/>
    </x:xf>
    <x:xf numFmtId="0" fontId="14" fillId="8" borderId="38" xfId="0" applyNumberFormat="1" applyFont="1" applyFill="1" applyBorder="1" applyAlignment="1">
      <x:alignment vertical="top" wrapText="1"/>
    </x:xf>
    <x:xf numFmtId="0" fontId="14" fillId="8" borderId="39" xfId="0" applyNumberFormat="1" applyFont="1" applyFill="1" applyBorder="1" applyAlignment="1">
      <x:alignment vertical="top" wrapText="1"/>
    </x:xf>
    <x:xf numFmtId="0" fontId="15" fillId="3" borderId="0" xfId="0" applyNumberFormat="1" applyFont="1" applyFill="1" applyBorder="1"/>
    <x:xf numFmtId="0" fontId="15" fillId="3" borderId="32" xfId="0" applyNumberFormat="1" applyFont="1" applyFill="1" applyBorder="1"/>
    <x:xf numFmtId="0" fontId="15" fillId="3" borderId="33" xfId="0" applyNumberFormat="1" applyFont="1" applyFill="1" applyBorder="1"/>
    <x:xf numFmtId="0" fontId="15" fillId="3" borderId="34" xfId="0" applyNumberFormat="1" applyFont="1" applyFill="1" applyBorder="1"/>
    <x:xf numFmtId="0" fontId="15" fillId="3" borderId="35" xfId="0" applyNumberFormat="1" applyFont="1" applyFill="1" applyBorder="1"/>
    <x:xf numFmtId="0" fontId="15" fillId="3" borderId="36" xfId="0" applyNumberFormat="1" applyFont="1" applyFill="1" applyBorder="1"/>
    <x:xf numFmtId="0" fontId="15" fillId="3" borderId="37" xfId="0" applyNumberFormat="1" applyFont="1" applyFill="1" applyBorder="1"/>
    <x:xf numFmtId="0" fontId="15" fillId="3" borderId="38" xfId="0" applyNumberFormat="1" applyFont="1" applyFill="1" applyBorder="1"/>
    <x:xf numFmtId="0" fontId="15" fillId="3" borderId="39" xfId="0" applyNumberFormat="1" applyFont="1" applyFill="1" applyBorder="1"/>
    <x:xf numFmtId="0" fontId="15" fillId="3" borderId="32" xfId="0" applyNumberFormat="1" applyFont="1" applyFill="1" applyBorder="1" applyAlignment="1">
      <x:alignment wrapText="1"/>
    </x:xf>
    <x:xf numFmtId="0" fontId="15" fillId="3" borderId="33" xfId="0" applyNumberFormat="1" applyFont="1" applyFill="1" applyBorder="1" applyAlignment="1">
      <x:alignment wrapText="1"/>
    </x:xf>
    <x:xf numFmtId="0" fontId="15" fillId="3" borderId="34" xfId="0" applyNumberFormat="1" applyFont="1" applyFill="1" applyBorder="1" applyAlignment="1">
      <x:alignment wrapText="1"/>
    </x:xf>
    <x:xf numFmtId="0" fontId="15" fillId="3" borderId="35" xfId="0" applyNumberFormat="1" applyFont="1" applyFill="1" applyBorder="1" applyAlignment="1">
      <x:alignment wrapText="1"/>
    </x:xf>
    <x:xf numFmtId="0" fontId="15" fillId="3" borderId="0" xfId="0" applyNumberFormat="1" applyFont="1" applyFill="1" applyBorder="1" applyAlignment="1">
      <x:alignment wrapText="1"/>
    </x:xf>
    <x:xf numFmtId="0" fontId="15" fillId="3" borderId="36" xfId="0" applyNumberFormat="1" applyFont="1" applyFill="1" applyBorder="1" applyAlignment="1">
      <x:alignment wrapText="1"/>
    </x:xf>
    <x:xf numFmtId="0" fontId="15" fillId="3" borderId="37" xfId="0" applyNumberFormat="1" applyFont="1" applyFill="1" applyBorder="1" applyAlignment="1">
      <x:alignment wrapText="1"/>
    </x:xf>
    <x:xf numFmtId="0" fontId="15" fillId="3" borderId="38" xfId="0" applyNumberFormat="1" applyFont="1" applyFill="1" applyBorder="1" applyAlignment="1">
      <x:alignment wrapText="1"/>
    </x:xf>
    <x:xf numFmtId="0" fontId="15" fillId="3" borderId="39" xfId="0" applyNumberFormat="1" applyFont="1" applyFill="1" applyBorder="1" applyAlignment="1">
      <x:alignment wrapText="1"/>
    </x:xf>
    <x:xf numFmtId="0" fontId="15" fillId="3" borderId="32" xfId="0" applyNumberFormat="1" applyFont="1" applyFill="1" applyBorder="1" applyAlignment="1">
      <x:alignment vertical="top" wrapText="1"/>
    </x:xf>
    <x:xf numFmtId="0" fontId="15" fillId="3" borderId="33" xfId="0" applyNumberFormat="1" applyFont="1" applyFill="1" applyBorder="1" applyAlignment="1">
      <x:alignment vertical="top" wrapText="1"/>
    </x:xf>
    <x:xf numFmtId="0" fontId="15" fillId="3" borderId="34" xfId="0" applyNumberFormat="1" applyFont="1" applyFill="1" applyBorder="1" applyAlignment="1">
      <x:alignment vertical="top" wrapText="1"/>
    </x:xf>
    <x:xf numFmtId="0" fontId="15" fillId="3" borderId="35" xfId="0" applyNumberFormat="1" applyFont="1" applyFill="1" applyBorder="1" applyAlignment="1">
      <x:alignment vertical="top" wrapText="1"/>
    </x:xf>
    <x:xf numFmtId="0" fontId="15" fillId="3" borderId="0" xfId="0" applyNumberFormat="1" applyFont="1" applyFill="1" applyBorder="1" applyAlignment="1">
      <x:alignment vertical="top" wrapText="1"/>
    </x:xf>
    <x:xf numFmtId="0" fontId="15" fillId="3" borderId="36" xfId="0" applyNumberFormat="1" applyFont="1" applyFill="1" applyBorder="1" applyAlignment="1">
      <x:alignment vertical="top" wrapText="1"/>
    </x:xf>
    <x:xf numFmtId="0" fontId="15" fillId="3" borderId="37" xfId="0" applyNumberFormat="1" applyFont="1" applyFill="1" applyBorder="1" applyAlignment="1">
      <x:alignment vertical="top" wrapText="1"/>
    </x:xf>
    <x:xf numFmtId="0" fontId="15" fillId="3" borderId="38" xfId="0" applyNumberFormat="1" applyFont="1" applyFill="1" applyBorder="1" applyAlignment="1">
      <x:alignment vertical="top" wrapText="1"/>
    </x:xf>
    <x:xf numFmtId="0" fontId="15" fillId="3" borderId="39" xfId="0" applyNumberFormat="1" applyFont="1" applyFill="1" applyBorder="1" applyAlignment="1">
      <x:alignment vertical="top" wrapText="1"/>
    </x:xf>
    <x:xf numFmtId="0" fontId="16" fillId="9" borderId="0" xfId="0" applyNumberFormat="1" applyFont="1" applyFill="1" applyBorder="1"/>
    <x:xf numFmtId="0" fontId="16" fillId="9" borderId="8" xfId="0" applyNumberFormat="1" applyFont="1" applyFill="1" applyBorder="1"/>
    <x:xf numFmtId="0" fontId="16" fillId="9" borderId="9" xfId="0" applyNumberFormat="1" applyFont="1" applyFill="1" applyBorder="1"/>
    <x:xf numFmtId="0" fontId="16" fillId="9" borderId="10" xfId="0" applyNumberFormat="1" applyFont="1" applyFill="1" applyBorder="1"/>
    <x:xf numFmtId="0" fontId="16" fillId="9" borderId="11" xfId="0" applyNumberFormat="1" applyFont="1" applyFill="1" applyBorder="1"/>
    <x:xf numFmtId="0" fontId="16" fillId="9" borderId="12" xfId="0" applyNumberFormat="1" applyFont="1" applyFill="1" applyBorder="1"/>
    <x:xf numFmtId="0" fontId="16" fillId="9" borderId="13" xfId="0" applyNumberFormat="1" applyFont="1" applyFill="1" applyBorder="1"/>
    <x:xf numFmtId="0" fontId="16" fillId="9" borderId="14" xfId="0" applyNumberFormat="1" applyFont="1" applyFill="1" applyBorder="1"/>
    <x:xf numFmtId="0" fontId="16" fillId="9" borderId="15" xfId="0" applyNumberFormat="1" applyFont="1" applyFill="1" applyBorder="1"/>
    <x:xf numFmtId="0" fontId="16" fillId="9" borderId="8" xfId="0" applyNumberFormat="1" applyFont="1" applyFill="1" applyBorder="1" applyAlignment="1">
      <x:alignment wrapText="1"/>
    </x:xf>
    <x:xf numFmtId="0" fontId="16" fillId="9" borderId="9" xfId="0" applyNumberFormat="1" applyFont="1" applyFill="1" applyBorder="1" applyAlignment="1">
      <x:alignment wrapText="1"/>
    </x:xf>
    <x:xf numFmtId="0" fontId="16" fillId="9" borderId="10" xfId="0" applyNumberFormat="1" applyFont="1" applyFill="1" applyBorder="1" applyAlignment="1">
      <x:alignment wrapText="1"/>
    </x:xf>
    <x:xf numFmtId="0" fontId="16" fillId="9" borderId="11" xfId="0" applyNumberFormat="1" applyFont="1" applyFill="1" applyBorder="1" applyAlignment="1">
      <x:alignment wrapText="1"/>
    </x:xf>
    <x:xf numFmtId="0" fontId="16" fillId="9" borderId="0" xfId="0" applyNumberFormat="1" applyFont="1" applyFill="1" applyBorder="1" applyAlignment="1">
      <x:alignment wrapText="1"/>
    </x:xf>
    <x:xf numFmtId="0" fontId="16" fillId="9" borderId="12" xfId="0" applyNumberFormat="1" applyFont="1" applyFill="1" applyBorder="1" applyAlignment="1">
      <x:alignment wrapText="1"/>
    </x:xf>
    <x:xf numFmtId="0" fontId="16" fillId="9" borderId="13" xfId="0" applyNumberFormat="1" applyFont="1" applyFill="1" applyBorder="1" applyAlignment="1">
      <x:alignment wrapText="1"/>
    </x:xf>
    <x:xf numFmtId="0" fontId="16" fillId="9" borderId="14" xfId="0" applyNumberFormat="1" applyFont="1" applyFill="1" applyBorder="1" applyAlignment="1">
      <x:alignment wrapText="1"/>
    </x:xf>
    <x:xf numFmtId="0" fontId="16" fillId="9" borderId="15" xfId="0" applyNumberFormat="1" applyFont="1" applyFill="1" applyBorder="1" applyAlignment="1">
      <x:alignment wrapText="1"/>
    </x:xf>
    <x:xf numFmtId="0" fontId="16" fillId="9" borderId="8" xfId="0" applyNumberFormat="1" applyFont="1" applyFill="1" applyBorder="1" applyAlignment="1">
      <x:alignment horizontal="center" wrapText="1"/>
    </x:xf>
    <x:xf numFmtId="0" fontId="16" fillId="9" borderId="9" xfId="0" applyNumberFormat="1" applyFont="1" applyFill="1" applyBorder="1" applyAlignment="1">
      <x:alignment horizontal="center" wrapText="1"/>
    </x:xf>
    <x:xf numFmtId="0" fontId="16" fillId="9" borderId="10" xfId="0" applyNumberFormat="1" applyFont="1" applyFill="1" applyBorder="1" applyAlignment="1">
      <x:alignment horizontal="center" wrapText="1"/>
    </x:xf>
    <x:xf numFmtId="0" fontId="16" fillId="9" borderId="11" xfId="0" applyNumberFormat="1" applyFont="1" applyFill="1" applyBorder="1" applyAlignment="1">
      <x:alignment horizontal="center" wrapText="1"/>
    </x:xf>
    <x:xf numFmtId="0" fontId="16" fillId="9" borderId="0" xfId="0" applyNumberFormat="1" applyFont="1" applyFill="1" applyBorder="1" applyAlignment="1">
      <x:alignment horizontal="center" wrapText="1"/>
    </x:xf>
    <x:xf numFmtId="0" fontId="16" fillId="9" borderId="12" xfId="0" applyNumberFormat="1" applyFont="1" applyFill="1" applyBorder="1" applyAlignment="1">
      <x:alignment horizontal="center" wrapText="1"/>
    </x:xf>
    <x:xf numFmtId="0" fontId="16" fillId="9" borderId="13" xfId="0" applyNumberFormat="1" applyFont="1" applyFill="1" applyBorder="1" applyAlignment="1">
      <x:alignment horizontal="center" wrapText="1"/>
    </x:xf>
    <x:xf numFmtId="0" fontId="16" fillId="9" borderId="14" xfId="0" applyNumberFormat="1" applyFont="1" applyFill="1" applyBorder="1" applyAlignment="1">
      <x:alignment horizontal="center" wrapText="1"/>
    </x:xf>
    <x:xf numFmtId="0" fontId="16" fillId="9" borderId="15" xfId="0" applyNumberFormat="1" applyFont="1" applyFill="1" applyBorder="1" applyAlignment="1">
      <x:alignment horizontal="center" wrapText="1"/>
    </x:xf>
    <x:xf numFmtId="0" fontId="16" fillId="9" borderId="8" xfId="0" applyNumberFormat="1" applyFont="1" applyFill="1" applyBorder="1" applyAlignment="1">
      <x:alignment horizontal="center" vertical="center" wrapText="1"/>
    </x:xf>
    <x:xf numFmtId="0" fontId="16" fillId="9" borderId="9" xfId="0" applyNumberFormat="1" applyFont="1" applyFill="1" applyBorder="1" applyAlignment="1">
      <x:alignment horizontal="center" vertical="center" wrapText="1"/>
    </x:xf>
    <x:xf numFmtId="0" fontId="16" fillId="9" borderId="10" xfId="0" applyNumberFormat="1" applyFont="1" applyFill="1" applyBorder="1" applyAlignment="1">
      <x:alignment horizontal="center" vertical="center" wrapText="1"/>
    </x:xf>
    <x:xf numFmtId="0" fontId="16" fillId="9" borderId="11" xfId="0" applyNumberFormat="1" applyFont="1" applyFill="1" applyBorder="1" applyAlignment="1">
      <x:alignment horizontal="center" vertical="center" wrapText="1"/>
    </x:xf>
    <x:xf numFmtId="0" fontId="16" fillId="9" borderId="0" xfId="0" applyNumberFormat="1" applyFont="1" applyFill="1" applyBorder="1" applyAlignment="1">
      <x:alignment horizontal="center" vertical="center" wrapText="1"/>
    </x:xf>
    <x:xf numFmtId="0" fontId="16" fillId="9" borderId="12" xfId="0" applyNumberFormat="1" applyFont="1" applyFill="1" applyBorder="1" applyAlignment="1">
      <x:alignment horizontal="center" vertical="center" wrapText="1"/>
    </x:xf>
    <x:xf numFmtId="0" fontId="16" fillId="9" borderId="13" xfId="0" applyNumberFormat="1" applyFont="1" applyFill="1" applyBorder="1" applyAlignment="1">
      <x:alignment horizontal="center" vertical="center" wrapText="1"/>
    </x:xf>
    <x:xf numFmtId="0" fontId="16" fillId="9" borderId="14" xfId="0" applyNumberFormat="1" applyFont="1" applyFill="1" applyBorder="1" applyAlignment="1">
      <x:alignment horizontal="center" vertical="center" wrapText="1"/>
    </x:xf>
    <x:xf numFmtId="0" fontId="16" fillId="9" borderId="15"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202" fontId="0" fillId="0" borderId="0" xfId="0" applyNumberFormat="1" applyFont="1" applyFill="1" applyBorder="1"/>
    <x:xf numFmtId="0" fontId="0" fillId="11" borderId="0" xfId="0" applyNumberFormat="1" applyFont="1" applyFill="1" applyBorder="1"/>
    <x:xf numFmtId="0" fontId="4" fillId="11" borderId="0" xfId="0" applyNumberFormat="1" applyFont="1" applyFill="1" applyBorder="1"/>
    <x:xf numFmtId="0" fontId="4" fillId="11" borderId="0" xfId="0" applyNumberFormat="1" applyFont="1" applyFill="1" applyBorder="1" applyAlignment="1">
      <x:alignment vertical="center"/>
    </x:xf>
    <x:xf numFmtId="0" fontId="0" fillId="12" borderId="0" xfId="0" applyNumberFormat="1" applyFont="1" applyFill="1" applyBorder="1"/>
    <x:xf numFmtId="0" fontId="17" fillId="12" borderId="0" xfId="0" applyNumberFormat="1" applyFont="1" applyFill="1" applyBorder="1"/>
    <x:xf numFmtId="0" fontId="17" fillId="12" borderId="0" xfId="0" applyNumberFormat="1" applyFont="1" applyFill="1" applyBorder="1" applyAlignment="1">
      <x:alignment wrapText="1"/>
    </x:xf>
    <x:xf numFmtId="0" fontId="17" fillId="12" borderId="0" xfId="0" applyNumberFormat="1" applyFont="1" applyFill="1" applyBorder="1" applyAlignment="1">
      <x:alignment vertical="center" wrapText="1"/>
    </x:xf>
    <x:xf numFmtId="0" fontId="0" fillId="13" borderId="0" xfId="0" applyNumberFormat="1" applyFont="1" applyFill="1" applyBorder="1"/>
    <x:xf numFmtId="0" fontId="4" fillId="13" borderId="0" xfId="0" applyNumberFormat="1" applyFont="1" applyFill="1" applyBorder="1"/>
    <x:xf numFmtId="0" fontId="4" fillId="13" borderId="40" xfId="0" applyNumberFormat="1" applyFont="1" applyFill="1" applyBorder="1"/>
    <x:xf numFmtId="0" fontId="4" fillId="13" borderId="41" xfId="0" applyNumberFormat="1" applyFont="1" applyFill="1" applyBorder="1"/>
    <x:xf numFmtId="0" fontId="4" fillId="13" borderId="42" xfId="0" applyNumberFormat="1" applyFont="1" applyFill="1" applyBorder="1"/>
    <x:xf numFmtId="0" fontId="4" fillId="13" borderId="40" xfId="0" applyNumberFormat="1" applyFont="1" applyFill="1" applyBorder="1" applyAlignment="1">
      <x:alignment wrapText="1"/>
    </x:xf>
    <x:xf numFmtId="0" fontId="4" fillId="13" borderId="41" xfId="0" applyNumberFormat="1" applyFont="1" applyFill="1" applyBorder="1" applyAlignment="1">
      <x:alignment wrapText="1"/>
    </x:xf>
    <x:xf numFmtId="0" fontId="4" fillId="13" borderId="42" xfId="0" applyNumberFormat="1" applyFont="1" applyFill="1" applyBorder="1" applyAlignment="1">
      <x:alignment wrapText="1"/>
    </x:xf>
    <x:xf numFmtId="0" fontId="4" fillId="13" borderId="40" xfId="0" applyNumberFormat="1" applyFont="1" applyFill="1" applyBorder="1" applyAlignment="1">
      <x:alignment vertical="center" wrapText="1"/>
    </x:xf>
    <x:xf numFmtId="0" fontId="4" fillId="13" borderId="41" xfId="0" applyNumberFormat="1" applyFont="1" applyFill="1" applyBorder="1" applyAlignment="1">
      <x:alignment vertical="center" wrapText="1"/>
    </x:xf>
    <x:xf numFmtId="0" fontId="4" fillId="13" borderId="42" xfId="0" applyNumberFormat="1" applyFont="1" applyFill="1" applyBorder="1" applyAlignment="1">
      <x:alignment vertical="center" wrapText="1"/>
    </x:xf>
    <x:xf numFmtId="0" fontId="18" fillId="0" borderId="0" xfId="0" applyNumberFormat="1" applyFont="1" applyFill="1" applyBorder="1"/>
    <x:xf numFmtId="202" fontId="18" fillId="0" borderId="0" xfId="0" applyNumberFormat="1" applyFont="1" applyFill="1" applyBorder="1"/>
    <x:xf numFmtId="0" fontId="18" fillId="0" borderId="0" xfId="0" applyNumberFormat="1" applyFont="1" applyFill="1" applyBorder="1">
      <x:extLst>
        <x:ext uri="{C7286773-470A-42A8-94C5-96B5CB345126}">
          <xfpb:xfComplement xmlns:xfpb="http://schemas.microsoft.com/office/spreadsheetml/2022/featurepropertybag" i="0"/>
        </x:ext>
      </x:extLst>
    </x:xf>
    <x:xf numFmtId="0" fontId="18" fillId="0" borderId="43" xfId="0" applyNumberFormat="1" applyFont="1" applyFill="1" applyBorder="1"/>
    <x:xf numFmtId="0" fontId="18" fillId="0" borderId="44" xfId="0" applyNumberFormat="1" applyFont="1" applyFill="1" applyBorder="1"/>
    <x:xf numFmtId="202" fontId="18" fillId="0" borderId="44" xfId="0" applyNumberFormat="1" applyFont="1" applyFill="1" applyBorder="1"/>
    <x:xf numFmtId="0" fontId="18" fillId="0" borderId="44" xfId="0" applyNumberFormat="1" applyFont="1" applyFill="1" applyBorder="1">
      <x:extLst>
        <x:ext uri="{C7286773-470A-42A8-94C5-96B5CB345126}">
          <xfpb:xfComplement xmlns:xfpb="http://schemas.microsoft.com/office/spreadsheetml/2022/featurepropertybag" i="0"/>
        </x:ext>
      </x:extLst>
    </x:xf>
    <x:xf numFmtId="0" fontId="18" fillId="0" borderId="45" xfId="0" applyNumberFormat="1" applyFont="1" applyFill="1" applyBorder="1"/>
    <x:xf numFmtId="0" fontId="18" fillId="0" borderId="42" xfId="0" applyNumberFormat="1" applyFont="1" applyFill="1" applyBorder="1"/>
    <x:xf numFmtId="0" fontId="18" fillId="0" borderId="46" xfId="0" applyNumberFormat="1" applyFont="1" applyFill="1" applyBorder="1"/>
    <x:xf numFmtId="202" fontId="18" fillId="0" borderId="46" xfId="0" applyNumberFormat="1" applyFont="1" applyFill="1" applyBorder="1"/>
    <x:xf numFmtId="0" fontId="18" fillId="0" borderId="46" xfId="0" applyNumberFormat="1" applyFont="1" applyFill="1" applyBorder="1">
      <x:extLst>
        <x:ext uri="{C7286773-470A-42A8-94C5-96B5CB345126}">
          <xfpb:xfComplement xmlns:xfpb="http://schemas.microsoft.com/office/spreadsheetml/2022/featurepropertybag" i="0"/>
        </x:ext>
      </x:extLst>
    </x:xf>
    <x:xf numFmtId="0" fontId="18" fillId="0" borderId="40" xfId="0" applyNumberFormat="1" applyFont="1" applyFill="1" applyBorder="1"/>
    <x:xf numFmtId="0" fontId="18" fillId="0" borderId="47" xfId="0" applyNumberFormat="1" applyFont="1" applyFill="1" applyBorder="1"/>
    <x:xf numFmtId="0" fontId="18" fillId="0" borderId="48" xfId="0" applyNumberFormat="1" applyFont="1" applyFill="1" applyBorder="1"/>
    <x:xf numFmtId="202" fontId="18" fillId="0" borderId="48" xfId="0" applyNumberFormat="1" applyFont="1" applyFill="1" applyBorder="1"/>
    <x:xf numFmtId="0" fontId="18" fillId="0" borderId="48" xfId="0" applyNumberFormat="1" applyFont="1" applyFill="1" applyBorder="1">
      <x:extLst>
        <x:ext uri="{C7286773-470A-42A8-94C5-96B5CB345126}">
          <xfpb:xfComplement xmlns:xfpb="http://schemas.microsoft.com/office/spreadsheetml/2022/featurepropertybag" i="0"/>
        </x:ext>
      </x:extLst>
    </x:xf>
    <x:xf numFmtId="0" fontId="18" fillId="0" borderId="49" xfId="0" applyNumberFormat="1" applyFont="1" applyFill="1" applyBorder="1"/>
    <x:xf numFmtId="0" fontId="18" fillId="0" borderId="43" xfId="0" applyNumberFormat="1" applyFont="1" applyFill="1" applyBorder="1" applyAlignment="1">
      <x:alignment wrapText="1"/>
    </x:xf>
    <x:xf numFmtId="0" fontId="18" fillId="0" borderId="44" xfId="0" applyNumberFormat="1" applyFont="1" applyFill="1" applyBorder="1" applyAlignment="1">
      <x:alignment wrapText="1"/>
    </x:xf>
    <x:xf numFmtId="202" fontId="18" fillId="0" borderId="44" xfId="0" applyNumberFormat="1" applyFont="1" applyFill="1" applyBorder="1" applyAlignment="1">
      <x:alignment wrapText="1"/>
    </x:xf>
    <x:xf numFmtId="0" fontId="18" fillId="0" borderId="44"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0" borderId="45" xfId="0" applyNumberFormat="1" applyFont="1" applyFill="1" applyBorder="1" applyAlignment="1">
      <x:alignment wrapText="1"/>
    </x:xf>
    <x:xf numFmtId="0" fontId="18" fillId="0" borderId="42" xfId="0" applyNumberFormat="1" applyFont="1" applyFill="1" applyBorder="1" applyAlignment="1">
      <x:alignment wrapText="1"/>
    </x:xf>
    <x:xf numFmtId="0" fontId="18" fillId="0" borderId="46" xfId="0" applyNumberFormat="1" applyFont="1" applyFill="1" applyBorder="1" applyAlignment="1">
      <x:alignment wrapText="1"/>
    </x:xf>
    <x:xf numFmtId="202" fontId="18" fillId="0" borderId="46" xfId="0" applyNumberFormat="1" applyFont="1" applyFill="1" applyBorder="1" applyAlignment="1">
      <x:alignment wrapText="1"/>
    </x:xf>
    <x:xf numFmtId="0" fontId="18" fillId="0" borderId="46"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0" borderId="40" xfId="0" applyNumberFormat="1" applyFont="1" applyFill="1" applyBorder="1" applyAlignment="1">
      <x:alignment wrapText="1"/>
    </x:xf>
    <x:xf numFmtId="0" fontId="18" fillId="0" borderId="47" xfId="0" applyNumberFormat="1" applyFont="1" applyFill="1" applyBorder="1" applyAlignment="1">
      <x:alignment wrapText="1"/>
    </x:xf>
    <x:xf numFmtId="0" fontId="18" fillId="0" borderId="48" xfId="0" applyNumberFormat="1" applyFont="1" applyFill="1" applyBorder="1" applyAlignment="1">
      <x:alignment wrapText="1"/>
    </x:xf>
    <x:xf numFmtId="202" fontId="18" fillId="0" borderId="48" xfId="0" applyNumberFormat="1" applyFont="1" applyFill="1" applyBorder="1" applyAlignment="1">
      <x:alignment wrapText="1"/>
    </x:xf>
    <x:xf numFmtId="0" fontId="18" fillId="0" borderId="48" xfId="0" applyNumberFormat="1" applyFont="1" applyFill="1" applyBorder="1" applyAlignment="1">
      <x:alignment wrapText="1"/>
      <x:extLst>
        <x:ext uri="{C7286773-470A-42A8-94C5-96B5CB345126}">
          <xfpb:xfComplement xmlns:xfpb="http://schemas.microsoft.com/office/spreadsheetml/2022/featurepropertybag" i="0"/>
        </x:ext>
      </x:extLst>
    </x:xf>
    <x:xf numFmtId="0" fontId="18" fillId="0" borderId="49" xfId="0" applyNumberFormat="1" applyFont="1" applyFill="1" applyBorder="1" applyAlignment="1">
      <x:alignment wrapText="1"/>
    </x:xf>
    <x:xf numFmtId="0" fontId="18" fillId="0" borderId="43" xfId="0" applyNumberFormat="1" applyFont="1" applyFill="1" applyBorder="1" applyAlignment="1">
      <x:alignment vertical="top" wrapText="1"/>
    </x:xf>
    <x:xf numFmtId="0" fontId="18" fillId="0" borderId="44" xfId="0" applyNumberFormat="1" applyFont="1" applyFill="1" applyBorder="1" applyAlignment="1">
      <x:alignment vertical="top" wrapText="1"/>
    </x:xf>
    <x:xf numFmtId="202" fontId="18" fillId="0" borderId="44" xfId="0" applyNumberFormat="1" applyFont="1" applyFill="1" applyBorder="1" applyAlignment="1">
      <x:alignment vertical="top" wrapText="1"/>
    </x:xf>
    <x:xf numFmtId="0" fontId="18" fillId="0" borderId="4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8" fillId="0" borderId="45" xfId="0" applyNumberFormat="1" applyFont="1" applyFill="1" applyBorder="1" applyAlignment="1">
      <x:alignment vertical="top" wrapText="1"/>
    </x:xf>
    <x:xf numFmtId="0" fontId="18" fillId="0" borderId="42" xfId="0" applyNumberFormat="1" applyFont="1" applyFill="1" applyBorder="1" applyAlignment="1">
      <x:alignment vertical="top" wrapText="1"/>
    </x:xf>
    <x:xf numFmtId="0" fontId="18" fillId="0" borderId="46" xfId="0" applyNumberFormat="1" applyFont="1" applyFill="1" applyBorder="1" applyAlignment="1">
      <x:alignment vertical="top" wrapText="1"/>
    </x:xf>
    <x:xf numFmtId="202" fontId="18" fillId="0" borderId="46" xfId="0" applyNumberFormat="1" applyFont="1" applyFill="1" applyBorder="1" applyAlignment="1">
      <x:alignment vertical="top" wrapText="1"/>
    </x:xf>
    <x:xf numFmtId="0" fontId="18" fillId="0" borderId="4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8" fillId="0" borderId="40" xfId="0" applyNumberFormat="1" applyFont="1" applyFill="1" applyBorder="1" applyAlignment="1">
      <x:alignment vertical="top" wrapText="1"/>
    </x:xf>
    <x:xf numFmtId="0" fontId="18" fillId="0" borderId="47" xfId="0" applyNumberFormat="1" applyFont="1" applyFill="1" applyBorder="1" applyAlignment="1">
      <x:alignment vertical="top" wrapText="1"/>
    </x:xf>
    <x:xf numFmtId="0" fontId="18" fillId="0" borderId="48" xfId="0" applyNumberFormat="1" applyFont="1" applyFill="1" applyBorder="1" applyAlignment="1">
      <x:alignment vertical="top" wrapText="1"/>
    </x:xf>
    <x:xf numFmtId="202" fontId="18" fillId="0" borderId="48" xfId="0" applyNumberFormat="1" applyFont="1" applyFill="1" applyBorder="1" applyAlignment="1">
      <x:alignment vertical="top" wrapText="1"/>
    </x:xf>
    <x:xf numFmtId="0" fontId="18" fillId="0" borderId="48"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8" fillId="0" borderId="49" xfId="0" applyNumberFormat="1" applyFont="1" applyFill="1" applyBorder="1" applyAlignment="1">
      <x:alignment vertical="top" wrapText="1"/>
    </x:xf>
    <x:xf numFmtId="204" fontId="0" fillId="0" borderId="0" xfId="0" applyNumberFormat="1" applyFont="1" applyFill="1" applyBorder="1"/>
    <x:xf numFmtId="205" fontId="0" fillId="0" borderId="0" xfId="0" applyNumberFormat="1" applyFont="1" applyFill="1" applyBorder="1"/>
    <x:xf numFmtId="205" fontId="18" fillId="0" borderId="0" xfId="0" applyNumberFormat="1" applyFont="1" applyFill="1" applyBorder="1"/>
    <x:xf numFmtId="204" fontId="18" fillId="0" borderId="0" xfId="0" applyNumberFormat="1" applyFont="1" applyFill="1" applyBorder="1"/>
    <x:xf numFmtId="205" fontId="18" fillId="0" borderId="44" xfId="0" applyNumberFormat="1" applyFont="1" applyFill="1" applyBorder="1"/>
    <x:xf numFmtId="204" fontId="18" fillId="0" borderId="44" xfId="0" applyNumberFormat="1" applyFont="1" applyFill="1" applyBorder="1"/>
    <x:xf numFmtId="205" fontId="18" fillId="0" borderId="46" xfId="0" applyNumberFormat="1" applyFont="1" applyFill="1" applyBorder="1"/>
    <x:xf numFmtId="204" fontId="18" fillId="0" borderId="46" xfId="0" applyNumberFormat="1" applyFont="1" applyFill="1" applyBorder="1"/>
    <x:xf numFmtId="205" fontId="18" fillId="0" borderId="48" xfId="0" applyNumberFormat="1" applyFont="1" applyFill="1" applyBorder="1"/>
    <x:xf numFmtId="204" fontId="18" fillId="0" borderId="48" xfId="0" applyNumberFormat="1" applyFont="1" applyFill="1" applyBorder="1"/>
    <x:xf numFmtId="205" fontId="18" fillId="0" borderId="44" xfId="0" applyNumberFormat="1" applyFont="1" applyFill="1" applyBorder="1" applyAlignment="1">
      <x:alignment wrapText="1"/>
    </x:xf>
    <x:xf numFmtId="204" fontId="18" fillId="0" borderId="44" xfId="0" applyNumberFormat="1" applyFont="1" applyFill="1" applyBorder="1" applyAlignment="1">
      <x:alignment wrapText="1"/>
    </x:xf>
    <x:xf numFmtId="205" fontId="18" fillId="0" borderId="46" xfId="0" applyNumberFormat="1" applyFont="1" applyFill="1" applyBorder="1" applyAlignment="1">
      <x:alignment wrapText="1"/>
    </x:xf>
    <x:xf numFmtId="204" fontId="18" fillId="0" borderId="46" xfId="0" applyNumberFormat="1" applyFont="1" applyFill="1" applyBorder="1" applyAlignment="1">
      <x:alignment wrapText="1"/>
    </x:xf>
    <x:xf numFmtId="205" fontId="18" fillId="0" borderId="48" xfId="0" applyNumberFormat="1" applyFont="1" applyFill="1" applyBorder="1" applyAlignment="1">
      <x:alignment wrapText="1"/>
    </x:xf>
    <x:xf numFmtId="204" fontId="18" fillId="0" borderId="48" xfId="0" applyNumberFormat="1" applyFont="1" applyFill="1" applyBorder="1" applyAlignment="1">
      <x:alignment wrapText="1"/>
    </x:xf>
    <x:xf numFmtId="205" fontId="18" fillId="0" borderId="44" xfId="0" applyNumberFormat="1" applyFont="1" applyFill="1" applyBorder="1" applyAlignment="1">
      <x:alignment vertical="top" wrapText="1"/>
    </x:xf>
    <x:xf numFmtId="204" fontId="18" fillId="0" borderId="44" xfId="0" applyNumberFormat="1" applyFont="1" applyFill="1" applyBorder="1" applyAlignment="1">
      <x:alignment vertical="top" wrapText="1"/>
    </x:xf>
    <x:xf numFmtId="205" fontId="18" fillId="0" borderId="46" xfId="0" applyNumberFormat="1" applyFont="1" applyFill="1" applyBorder="1" applyAlignment="1">
      <x:alignment vertical="top" wrapText="1"/>
    </x:xf>
    <x:xf numFmtId="204" fontId="18" fillId="0" borderId="46" xfId="0" applyNumberFormat="1" applyFont="1" applyFill="1" applyBorder="1" applyAlignment="1">
      <x:alignment vertical="top" wrapText="1"/>
    </x:xf>
    <x:xf numFmtId="205" fontId="18" fillId="0" borderId="48" xfId="0" applyNumberFormat="1" applyFont="1" applyFill="1" applyBorder="1" applyAlignment="1">
      <x:alignment vertical="top" wrapText="1"/>
    </x:xf>
    <x:xf numFmtId="204" fontId="18" fillId="0" borderId="48" xfId="0" applyNumberFormat="1" applyFont="1" applyFill="1" applyBorder="1" applyAlignment="1">
      <x:alignment vertical="top" wrapText="1"/>
    </x:xf>
    <x:xf numFmtId="203" fontId="0" fillId="0" borderId="0" xfId="0" applyNumberFormat="1" applyFont="1" applyFill="1" applyBorder="1"/>
    <x:xf numFmtId="203" fontId="18" fillId="0" borderId="0" xfId="0" applyNumberFormat="1" applyFont="1" applyFill="1" applyBorder="1"/>
    <x:xf numFmtId="203" fontId="18" fillId="0" borderId="44" xfId="0" applyNumberFormat="1" applyFont="1" applyFill="1" applyBorder="1"/>
    <x:xf numFmtId="203" fontId="18" fillId="0" borderId="46" xfId="0" applyNumberFormat="1" applyFont="1" applyFill="1" applyBorder="1"/>
    <x:xf numFmtId="203" fontId="18" fillId="0" borderId="48" xfId="0" applyNumberFormat="1" applyFont="1" applyFill="1" applyBorder="1"/>
    <x:xf numFmtId="203" fontId="18" fillId="0" borderId="44" xfId="0" applyNumberFormat="1" applyFont="1" applyFill="1" applyBorder="1" applyAlignment="1">
      <x:alignment wrapText="1"/>
    </x:xf>
    <x:xf numFmtId="203" fontId="18" fillId="0" borderId="46" xfId="0" applyNumberFormat="1" applyFont="1" applyFill="1" applyBorder="1" applyAlignment="1">
      <x:alignment wrapText="1"/>
    </x:xf>
    <x:xf numFmtId="203" fontId="18" fillId="0" borderId="48" xfId="0" applyNumberFormat="1" applyFont="1" applyFill="1" applyBorder="1" applyAlignment="1">
      <x:alignment wrapText="1"/>
    </x:xf>
    <x:xf numFmtId="203" fontId="18" fillId="0" borderId="44" xfId="0" applyNumberFormat="1" applyFont="1" applyFill="1" applyBorder="1" applyAlignment="1">
      <x:alignment vertical="top" wrapText="1"/>
    </x:xf>
    <x:xf numFmtId="203" fontId="18" fillId="0" borderId="46" xfId="0" applyNumberFormat="1" applyFont="1" applyFill="1" applyBorder="1" applyAlignment="1">
      <x:alignment vertical="top" wrapText="1"/>
    </x:xf>
    <x:xf numFmtId="203" fontId="18" fillId="0" borderId="48" xfId="0" applyNumberFormat="1" applyFont="1" applyFill="1" applyBorder="1" applyAlignment="1">
      <x:alignment vertical="top" wrapText="1"/>
    </x:xf>
    <x:xf numFmtId="0" fontId="0" fillId="0" borderId="0" xfId="0" applyNumberFormat="1" applyFont="1" applyFill="1" applyBorder="1" applyAlignment="1">
      <x:alignment horizontal="center"/>
      <x:extLst>
        <x:ext uri="{C7286773-470A-42A8-94C5-96B5CB345126}">
          <xfpb:xfComplement xmlns:xfpb="http://schemas.microsoft.com/office/spreadsheetml/2022/featurepropertybag" i="0"/>
        </x:ext>
      </x:extLst>
    </x:xf>
    <x:xf numFmtId="0" fontId="18" fillId="0" borderId="0" xfId="0" applyNumberFormat="1" applyFont="1" applyFill="1" applyBorder="1" applyAlignment="1">
      <x:alignment horizontal="center"/>
      <x:extLst>
        <x:ext uri="{C7286773-470A-42A8-94C5-96B5CB345126}">
          <xfpb:xfComplement xmlns:xfpb="http://schemas.microsoft.com/office/spreadsheetml/2022/featurepropertybag" i="0"/>
        </x:ext>
      </x:extLst>
    </x:xf>
    <x:xf numFmtId="0" fontId="18" fillId="0" borderId="44" xfId="0" applyNumberFormat="1" applyFont="1" applyFill="1" applyBorder="1" applyAlignment="1">
      <x:alignment horizontal="center"/>
      <x:extLst>
        <x:ext uri="{C7286773-470A-42A8-94C5-96B5CB345126}">
          <xfpb:xfComplement xmlns:xfpb="http://schemas.microsoft.com/office/spreadsheetml/2022/featurepropertybag" i="0"/>
        </x:ext>
      </x:extLst>
    </x:xf>
    <x:xf numFmtId="0" fontId="18" fillId="0" borderId="46" xfId="0" applyNumberFormat="1" applyFont="1" applyFill="1" applyBorder="1" applyAlignment="1">
      <x:alignment horizontal="center"/>
      <x:extLst>
        <x:ext uri="{C7286773-470A-42A8-94C5-96B5CB345126}">
          <xfpb:xfComplement xmlns:xfpb="http://schemas.microsoft.com/office/spreadsheetml/2022/featurepropertybag" i="0"/>
        </x:ext>
      </x:extLst>
    </x:xf>
    <x:xf numFmtId="0" fontId="18" fillId="0" borderId="48" xfId="0" applyNumberFormat="1" applyFont="1" applyFill="1" applyBorder="1" applyAlignment="1">
      <x:alignment horizontal="center"/>
      <x:extLst>
        <x:ext uri="{C7286773-470A-42A8-94C5-96B5CB345126}">
          <xfpb:xfComplement xmlns:xfpb="http://schemas.microsoft.com/office/spreadsheetml/2022/featurepropertybag" i="0"/>
        </x:ext>
      </x:extLst>
    </x:xf>
    <x:xf numFmtId="0" fontId="18" fillId="0" borderId="44" xfId="0" applyNumberFormat="1" applyFont="1" applyFill="1" applyBorder="1" applyAlignment="1">
      <x:alignment horizontal="center" wrapText="1"/>
      <x:extLst>
        <x:ext uri="{C7286773-470A-42A8-94C5-96B5CB345126}">
          <xfpb:xfComplement xmlns:xfpb="http://schemas.microsoft.com/office/spreadsheetml/2022/featurepropertybag" i="0"/>
        </x:ext>
      </x:extLst>
    </x:xf>
    <x:xf numFmtId="0" fontId="18" fillId="0" borderId="46" xfId="0" applyNumberFormat="1" applyFont="1" applyFill="1" applyBorder="1" applyAlignment="1">
      <x:alignment horizontal="center" wrapText="1"/>
      <x:extLst>
        <x:ext uri="{C7286773-470A-42A8-94C5-96B5CB345126}">
          <xfpb:xfComplement xmlns:xfpb="http://schemas.microsoft.com/office/spreadsheetml/2022/featurepropertybag" i="0"/>
        </x:ext>
      </x:extLst>
    </x:xf>
    <x:xf numFmtId="0" fontId="18" fillId="0" borderId="48" xfId="0" applyNumberFormat="1" applyFont="1" applyFill="1" applyBorder="1" applyAlignment="1">
      <x:alignment horizontal="center" wrapText="1"/>
      <x:extLst>
        <x:ext uri="{C7286773-470A-42A8-94C5-96B5CB345126}">
          <xfpb:xfComplement xmlns:xfpb="http://schemas.microsoft.com/office/spreadsheetml/2022/featurepropertybag" i="0"/>
        </x:ext>
      </x:extLst>
    </x:xf>
    <x:xf numFmtId="0" fontId="18" fillId="0" borderId="44"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18" fillId="0" borderId="46"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18" fillId="0" borderId="48" xfId="0" applyNumberFormat="1" applyFont="1" applyFill="1" applyBorder="1" applyAlignment="1">
      <x:alignment horizontal="center" vertical="top" wrapText="1"/>
      <x:extLst>
        <x:ext uri="{C7286773-470A-42A8-94C5-96B5CB345126}">
          <xfpb:xfComplement xmlns:xfpb="http://schemas.microsoft.com/office/spreadsheetml/2022/featurepropertybag" i="0"/>
        </x:ext>
      </x:extLst>
    </x:xf>
    <x:xf numFmtId="0" fontId="0" fillId="14" borderId="0" xfId="0" applyNumberFormat="1" applyFont="1" applyFill="1" applyBorder="1"/>
    <x:xf numFmtId="0" fontId="1" fillId="14" borderId="0" xfId="0" applyNumberFormat="1" applyFont="1" applyFill="1" applyBorder="1"/>
    <x:xf numFmtId="0" fontId="1" fillId="14" borderId="0" xfId="0" applyNumberFormat="1" applyFont="1" applyFill="1" applyBorder="1" applyAlignment="1">
      <x:alignment horizontal="left"/>
    </x:xf>
    <x:xf numFmtId="0" fontId="1" fillId="14" borderId="0" xfId="0" applyNumberFormat="1" applyFont="1" applyFill="1" applyBorder="1" applyAlignment="1">
      <x:alignment horizontal="left" vertical="center"/>
    </x:xf>
    <x:xf numFmtId="0" fontId="0" fillId="15" borderId="0" xfId="0" applyNumberFormat="1" applyFont="1" applyFill="1" applyBorder="1"/>
    <x:xf numFmtId="0" fontId="19" fillId="15" borderId="0" xfId="0" applyNumberFormat="1" applyFont="1" applyFill="1" applyBorder="1"/>
    <x:xf numFmtId="0" fontId="19" fillId="15" borderId="0" xfId="0" applyNumberFormat="1" applyFont="1" applyFill="1" applyBorder="1" applyAlignment="1">
      <x:alignment wrapText="1"/>
    </x:xf>
    <x:xf numFmtId="0" fontId="19" fillId="15" borderId="0" xfId="0" applyNumberFormat="1" applyFont="1" applyFill="1" applyBorder="1" applyAlignment="1">
      <x:alignment vertical="center" wrapText="1"/>
    </x:xf>
    <x:xf numFmtId="0" fontId="0" fillId="16" borderId="0" xfId="0" applyNumberFormat="1" applyFont="1" applyFill="1" applyBorder="1"/>
    <x:xf numFmtId="0" fontId="6" fillId="16" borderId="0" xfId="0" applyNumberFormat="1" applyFont="1" applyFill="1" applyBorder="1"/>
    <x:xf numFmtId="0" fontId="6" fillId="16" borderId="46" xfId="0" applyNumberFormat="1" applyFont="1" applyFill="1" applyBorder="1"/>
    <x:xf numFmtId="0" fontId="6" fillId="16" borderId="46" xfId="0" applyNumberFormat="1" applyFont="1" applyFill="1" applyBorder="1" applyAlignment="1">
      <x:alignment wrapText="1"/>
    </x:xf>
    <x:xf numFmtId="0" fontId="6" fillId="16" borderId="46" xfId="0" applyNumberFormat="1" applyFont="1" applyFill="1" applyBorder="1" applyAlignment="1">
      <x:alignment vertical="center" wrapText="1"/>
    </x:xf>
    <x:xf numFmtId="0" fontId="20" fillId="0" borderId="0" xfId="0" applyNumberFormat="1" applyFont="1" applyFill="1" applyBorder="1"/>
    <x:xf numFmtId="0" fontId="20" fillId="0" borderId="0" xfId="0" applyNumberFormat="1" applyFont="1" applyFill="1" applyBorder="1">
      <x:extLst>
        <x:ext uri="{C7286773-470A-42A8-94C5-96B5CB345126}">
          <xfpb:xfComplement xmlns:xfpb="http://schemas.microsoft.com/office/spreadsheetml/2022/featurepropertybag" i="0"/>
        </x:ext>
      </x:extLst>
    </x:xf>
    <x:xf numFmtId="0" fontId="20" fillId="0" borderId="46" xfId="0" applyNumberFormat="1" applyFont="1" applyFill="1" applyBorder="1"/>
    <x:xf numFmtId="0" fontId="20" fillId="0" borderId="46" xfId="0" applyNumberFormat="1" applyFont="1" applyFill="1" applyBorder="1">
      <x:extLst>
        <x:ext uri="{C7286773-470A-42A8-94C5-96B5CB345126}">
          <xfpb:xfComplement xmlns:xfpb="http://schemas.microsoft.com/office/spreadsheetml/2022/featurepropertybag" i="0"/>
        </x:ext>
      </x:extLst>
    </x:xf>
    <x:xf numFmtId="0" fontId="20" fillId="0" borderId="46" xfId="0" applyNumberFormat="1" applyFont="1" applyFill="1" applyBorder="1" applyAlignment="1">
      <x:alignment wrapText="1"/>
    </x:xf>
    <x:xf numFmtId="0" fontId="20" fillId="0" borderId="46" xfId="0" applyNumberFormat="1" applyFont="1" applyFill="1" applyBorder="1" applyAlignment="1">
      <x:alignment wrapText="1"/>
      <x:extLst>
        <x:ext uri="{C7286773-470A-42A8-94C5-96B5CB345126}">
          <xfpb:xfComplement xmlns:xfpb="http://schemas.microsoft.com/office/spreadsheetml/2022/featurepropertybag" i="0"/>
        </x:ext>
      </x:extLst>
    </x:xf>
    <x:xf numFmtId="0" fontId="20" fillId="0" borderId="46" xfId="0" applyNumberFormat="1" applyFont="1" applyFill="1" applyBorder="1" applyAlignment="1">
      <x:alignment vertical="top" wrapText="1"/>
    </x:xf>
    <x:xf numFmtId="0" fontId="20" fillId="0" borderId="46"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2" fontId="20" fillId="0" borderId="46" xfId="0" applyNumberFormat="1" applyFont="1" applyFill="1" applyBorder="1" applyAlignment="1">
      <x:alignment vertical="top" wrapText="1"/>
    </x:xf>
    <x:xf numFmtId="0" fontId="20" fillId="17" borderId="46" xfId="0" applyNumberFormat="1" applyFont="1" applyFill="1" applyBorder="1" applyAlignment="1">
      <x:alignment vertical="top" wrapText="1"/>
    </x:xf>
    <x:xf numFmtId="0" fontId="18" fillId="0" borderId="44" xfId="0" applyNumberFormat="1" applyFont="1" applyFill="1" applyBorder="1" applyAlignment="1">
      <x:alignment horizontal="center" vertical="top" wrapText="1"/>
    </x:xf>
    <x:xf numFmtId="0" fontId="18" fillId="0" borderId="46" xfId="0" applyNumberFormat="1" applyFont="1" applyFill="1" applyBorder="1" applyAlignment="1">
      <x:alignment horizontal="center" vertical="top" wrapText="1"/>
    </x:xf>
    <x:xf numFmtId="0" fontId="18" fillId="0" borderId="48" xfId="0" applyNumberFormat="1" applyFont="1" applyFill="1" applyBorder="1" applyAlignment="1">
      <x:alignment horizontal="center" vertical="top" wrapText="1"/>
    </x:xf>
    <x:xf numFmtId="0" fontId="4" fillId="16" borderId="0" xfId="0" applyNumberFormat="1" applyFont="1" applyFill="1" applyBorder="1"/>
    <x:xf numFmtId="0" fontId="4" fillId="16" borderId="0" xfId="0" applyNumberFormat="1" applyFont="1" applyFill="1" applyBorder="1" applyAlignment="1">
      <x:alignment vertical="center"/>
    </x:xf>
    <x:xf numFmtId="0" fontId="21" fillId="15" borderId="0" xfId="0" applyNumberFormat="1" applyFont="1" applyFill="1" applyBorder="1"/>
    <x:xf numFmtId="0" fontId="21" fillId="15" borderId="46" xfId="0" applyNumberFormat="1" applyFont="1" applyFill="1" applyBorder="1"/>
    <x:xf numFmtId="0" fontId="21" fillId="15" borderId="46" xfId="0" applyNumberFormat="1" applyFont="1" applyFill="1" applyBorder="1" applyAlignment="1">
      <x:alignment wrapText="1"/>
    </x:xf>
    <x:xf numFmtId="0" fontId="20" fillId="18" borderId="46" xfId="0" applyNumberFormat="1" applyFont="1" applyFill="1" applyBorder="1" applyAlignment="1">
      <x:alignment vertical="top" wrapText="1"/>
    </x:xf>
    <x:xf numFmtId="0" fontId="20" fillId="15" borderId="46" xfId="0" applyNumberFormat="1" applyFont="1" applyFill="1" applyBorder="1" applyAlignment="1">
      <x:alignment vertical="top" wrapText="1"/>
    </x:xf>
    <x:xf numFmtId="0" fontId="22" fillId="15" borderId="46" xfId="0" applyNumberFormat="1" applyFont="1" applyFill="1" applyBorder="1" applyAlignment="1">
      <x:alignment vertical="top" wrapText="1"/>
    </x:xf>
    <x:xf numFmtId="0" fontId="20" fillId="19" borderId="46" xfId="0" applyNumberFormat="1" applyFont="1" applyFill="1" applyBorder="1" applyAlignment="1">
      <x:alignment vertical="top" wrapText="1"/>
    </x:xf>
    <x:xf numFmtId="202" fontId="4" fillId="5" borderId="0" xfId="0" applyNumberFormat="1" applyFont="1" applyFill="1" applyBorder="1" applyAlignment="1">
      <x:alignment horizontal="left" vertical="center"/>
    </x:xf>
    <x:xf numFmtId="0" fontId="0" fillId="20" borderId="0" xfId="0" applyNumberFormat="1" applyFont="1" applyFill="1" applyBorder="1"/>
    <x:xf numFmtId="0" fontId="1" fillId="20" borderId="0" xfId="0" applyNumberFormat="1" applyFont="1" applyFill="1" applyBorder="1"/>
    <x:xf numFmtId="0" fontId="1" fillId="20" borderId="0" xfId="0" applyNumberFormat="1" applyFont="1" applyFill="1" applyBorder="1" applyAlignment="1">
      <x:alignment horizontal="left"/>
    </x:xf>
    <x:xf numFmtId="0" fontId="1" fillId="20" borderId="0" xfId="0" applyNumberFormat="1" applyFont="1" applyFill="1" applyBorder="1" applyAlignment="1">
      <x:alignment horizontal="left" vertical="center"/>
    </x:xf>
    <x:xf numFmtId="0" fontId="0" fillId="21" borderId="0" xfId="0" applyNumberFormat="1" applyFont="1" applyFill="1" applyBorder="1"/>
    <x:xf numFmtId="0" fontId="19" fillId="21" borderId="0" xfId="0" applyNumberFormat="1" applyFont="1" applyFill="1" applyBorder="1"/>
    <x:xf numFmtId="0" fontId="19" fillId="21" borderId="0" xfId="0" applyNumberFormat="1" applyFont="1" applyFill="1" applyBorder="1" applyAlignment="1">
      <x:alignment wrapText="1"/>
    </x:xf>
    <x:xf numFmtId="0" fontId="19" fillId="21" borderId="0" xfId="0" applyNumberFormat="1" applyFont="1" applyFill="1" applyBorder="1" applyAlignment="1">
      <x:alignment vertical="center" wrapText="1"/>
    </x:xf>
    <x:xf numFmtId="0" fontId="0" fillId="22" borderId="0" xfId="0" applyNumberFormat="1" applyFont="1" applyFill="1" applyBorder="1"/>
    <x:xf numFmtId="0" fontId="6" fillId="22" borderId="0" xfId="0" applyNumberFormat="1" applyFont="1" applyFill="1" applyBorder="1"/>
    <x:xf numFmtId="0" fontId="6" fillId="22" borderId="46" xfId="0" applyNumberFormat="1" applyFont="1" applyFill="1" applyBorder="1"/>
    <x:xf numFmtId="0" fontId="6" fillId="22" borderId="46" xfId="0" applyNumberFormat="1" applyFont="1" applyFill="1" applyBorder="1" applyAlignment="1">
      <x:alignment wrapText="1"/>
    </x:xf>
    <x:xf numFmtId="0" fontId="6" fillId="22" borderId="46" xfId="0" applyNumberFormat="1" applyFont="1" applyFill="1" applyBorder="1" applyAlignment="1">
      <x:alignment vertical="center" wrapText="1"/>
    </x:xf>
    <x:xf numFmtId="0" fontId="20" fillId="23" borderId="46" xfId="0" applyNumberFormat="1" applyFont="1" applyFill="1" applyBorder="1" applyAlignment="1">
      <x:alignment vertical="top" wrapText="1"/>
    </x:xf>
    <x:xf numFmtId="0" fontId="4" fillId="22" borderId="0" xfId="0" applyNumberFormat="1" applyFont="1" applyFill="1" applyBorder="1"/>
    <x:xf numFmtId="0" fontId="4" fillId="22" borderId="0" xfId="0" applyNumberFormat="1" applyFont="1" applyFill="1" applyBorder="1" applyAlignment="1">
      <x:alignment vertical="center"/>
    </x:xf>
    <x:xf numFmtId="0" fontId="21" fillId="21" borderId="0" xfId="0" applyNumberFormat="1" applyFont="1" applyFill="1" applyBorder="1"/>
    <x:xf numFmtId="0" fontId="21" fillId="21" borderId="46" xfId="0" applyNumberFormat="1" applyFont="1" applyFill="1" applyBorder="1"/>
    <x:xf numFmtId="0" fontId="21" fillId="21" borderId="46" xfId="0" applyNumberFormat="1" applyFont="1" applyFill="1" applyBorder="1" applyAlignment="1">
      <x:alignment wrapText="1"/>
    </x:xf>
    <x:xf numFmtId="0" fontId="20" fillId="24" borderId="46" xfId="0" applyNumberFormat="1" applyFont="1" applyFill="1" applyBorder="1" applyAlignment="1">
      <x:alignment vertical="top" wrapText="1"/>
    </x:xf>
    <x:xf numFmtId="0" fontId="20" fillId="21" borderId="46" xfId="0" applyNumberFormat="1" applyFont="1" applyFill="1" applyBorder="1" applyAlignment="1">
      <x:alignment vertical="top" wrapText="1"/>
    </x:xf>
    <x:xf numFmtId="0" fontId="22" fillId="21" borderId="46" xfId="0" applyNumberFormat="1" applyFont="1" applyFill="1" applyBorder="1" applyAlignment="1">
      <x:alignment vertical="top" wrapText="1"/>
    </x:xf>
    <x:xf numFmtId="0" fontId="20" fillId="25" borderId="46" xfId="0" applyNumberFormat="1" applyFont="1" applyFill="1" applyBorder="1" applyAlignment="1">
      <x:alignment vertical="top" wrapText="1"/>
    </x:xf>
    <x:xf numFmtId="0" fontId="0" fillId="26" borderId="0" xfId="0" applyNumberFormat="1" applyFont="1" applyFill="1" applyBorder="1"/>
    <x:xf numFmtId="0" fontId="1" fillId="26" borderId="0" xfId="0" applyNumberFormat="1" applyFont="1" applyFill="1" applyBorder="1"/>
    <x:xf numFmtId="0" fontId="1" fillId="26" borderId="0" xfId="0" applyNumberFormat="1" applyFont="1" applyFill="1" applyBorder="1" applyAlignment="1">
      <x:alignment horizontal="left"/>
    </x:xf>
    <x:xf numFmtId="0" fontId="1" fillId="26" borderId="0" xfId="0" applyNumberFormat="1" applyFont="1" applyFill="1" applyBorder="1" applyAlignment="1">
      <x:alignment horizontal="left" vertical="center"/>
    </x:xf>
    <x:xf numFmtId="0" fontId="0" fillId="27" borderId="0" xfId="0" applyNumberFormat="1" applyFont="1" applyFill="1" applyBorder="1"/>
    <x:xf numFmtId="0" fontId="19" fillId="27" borderId="0" xfId="0" applyNumberFormat="1" applyFont="1" applyFill="1" applyBorder="1"/>
    <x:xf numFmtId="0" fontId="19" fillId="27" borderId="0" xfId="0" applyNumberFormat="1" applyFont="1" applyFill="1" applyBorder="1" applyAlignment="1">
      <x:alignment wrapText="1"/>
    </x:xf>
    <x:xf numFmtId="0" fontId="19" fillId="27" borderId="0" xfId="0" applyNumberFormat="1" applyFont="1" applyFill="1" applyBorder="1" applyAlignment="1">
      <x:alignment vertical="center" wrapText="1"/>
    </x:xf>
    <x:xf numFmtId="0" fontId="0" fillId="28" borderId="0" xfId="0" applyNumberFormat="1" applyFont="1" applyFill="1" applyBorder="1"/>
    <x:xf numFmtId="0" fontId="6" fillId="28" borderId="0" xfId="0" applyNumberFormat="1" applyFont="1" applyFill="1" applyBorder="1"/>
    <x:xf numFmtId="0" fontId="6" fillId="28" borderId="46" xfId="0" applyNumberFormat="1" applyFont="1" applyFill="1" applyBorder="1"/>
    <x:xf numFmtId="0" fontId="6" fillId="28" borderId="46" xfId="0" applyNumberFormat="1" applyFont="1" applyFill="1" applyBorder="1" applyAlignment="1">
      <x:alignment wrapText="1"/>
    </x:xf>
    <x:xf numFmtId="0" fontId="6" fillId="28" borderId="46" xfId="0" applyNumberFormat="1" applyFont="1" applyFill="1" applyBorder="1" applyAlignment="1">
      <x:alignment vertical="center" wrapText="1"/>
    </x:xf>
    <x:xf numFmtId="0" fontId="20" fillId="29" borderId="46" xfId="0" applyNumberFormat="1" applyFont="1" applyFill="1" applyBorder="1" applyAlignment="1">
      <x:alignment vertical="top" wrapText="1"/>
    </x:xf>
    <x:xf numFmtId="0" fontId="4" fillId="28" borderId="0" xfId="0" applyNumberFormat="1" applyFont="1" applyFill="1" applyBorder="1"/>
    <x:xf numFmtId="0" fontId="4" fillId="28" borderId="0" xfId="0" applyNumberFormat="1" applyFont="1" applyFill="1" applyBorder="1" applyAlignment="1">
      <x:alignment vertical="center"/>
    </x:xf>
    <x:xf numFmtId="0" fontId="21" fillId="27" borderId="0" xfId="0" applyNumberFormat="1" applyFont="1" applyFill="1" applyBorder="1"/>
    <x:xf numFmtId="0" fontId="21" fillId="27" borderId="46" xfId="0" applyNumberFormat="1" applyFont="1" applyFill="1" applyBorder="1"/>
    <x:xf numFmtId="0" fontId="21" fillId="27" borderId="46" xfId="0" applyNumberFormat="1" applyFont="1" applyFill="1" applyBorder="1" applyAlignment="1">
      <x:alignment wrapText="1"/>
    </x:xf>
    <x:xf numFmtId="0" fontId="20" fillId="30" borderId="46" xfId="0" applyNumberFormat="1" applyFont="1" applyFill="1" applyBorder="1" applyAlignment="1">
      <x:alignment vertical="top" wrapText="1"/>
    </x:xf>
    <x:xf numFmtId="0" fontId="20" fillId="27" borderId="46" xfId="0" applyNumberFormat="1" applyFont="1" applyFill="1" applyBorder="1" applyAlignment="1">
      <x:alignment vertical="top" wrapText="1"/>
    </x:xf>
    <x:xf numFmtId="0" fontId="22" fillId="27" borderId="46" xfId="0" applyNumberFormat="1" applyFont="1" applyFill="1" applyBorder="1" applyAlignment="1">
      <x:alignment vertical="top" wrapText="1"/>
    </x:xf>
    <x:xf numFmtId="0" fontId="20" fillId="31" borderId="46" xfId="0" applyNumberFormat="1" applyFont="1" applyFill="1" applyBorder="1" applyAlignment="1">
      <x:alignment vertical="top" wrapText="1"/>
    </x:xf>
  </x:cellXfs>
  <x:cellStyles count="1">
    <x:cellStyle name="Normal" xfId="0"/>
  </x:cellStyles>
  <x:dxfs count="26">
    <x:dxf>
      <x:font>
        <x:b/>
        <x:color rgb="FFB42318"/>
      </x:font>
      <x:fill>
        <x:patternFill>
          <x:bgColor rgb="FFFEE4E2"/>
        </x:patternFill>
      </x:fill>
    </x:dxf>
    <x:dxf>
      <x:font>
        <x:b/>
        <x:color rgb="FFB54708"/>
      </x:font>
      <x:fill>
        <x:patternFill>
          <x:bgColor rgb="FFFEF0C7"/>
        </x:patternFill>
      </x:fill>
    </x:dxf>
    <x:dxf>
      <x:font>
        <x:color rgb="FF16324F"/>
      </x:font>
      <x:fill>
        <x:patternFill>
          <x:bgColor rgb="FFEAF2F8"/>
        </x:patternFill>
      </x:fill>
    </x:dxf>
    <x:dxf>
      <x:font>
        <x:color rgb="FF475467"/>
      </x:font>
      <x:fill>
        <x:patternFill>
          <x:bgColor rgb="FFF2F4F7"/>
        </x:patternFill>
      </x:fill>
    </x:dxf>
    <x:dxf>
      <x:font>
        <x:b/>
        <x:color rgb="FF067647"/>
      </x:font>
      <x:fill>
        <x:patternFill>
          <x:bgColor rgb="FFD1FADF"/>
        </x:patternFill>
      </x:fill>
    </x:dxf>
    <x:dxf>
      <x:font>
        <x:color rgb="FF16324F"/>
      </x:font>
      <x:fill>
        <x:patternFill>
          <x:bgColor rgb="FFEAF2F8"/>
        </x:patternFill>
      </x:fill>
    </x:dxf>
    <x:dxf>
      <x:font>
        <x:color rgb="FFB42318"/>
      </x:font>
      <x:fill>
        <x:patternFill>
          <x:bgColor rgb="FFFEE4E2"/>
        </x:patternFill>
      </x:fill>
    </x:dxf>
    <x:dxf>
      <x:font>
        <x:color rgb="FFB54708"/>
      </x:font>
      <x:fill>
        <x:patternFill>
          <x:bgColor rgb="FFFEF0C7"/>
        </x:patternFill>
      </x:fill>
    </x:dxf>
    <x:dxf>
      <x:font>
        <x:color rgb="FFB54708"/>
      </x:font>
      <x:fill>
        <x:patternFill>
          <x:bgColor rgb="FFFEF0C7"/>
        </x:patternFill>
      </x:fill>
    </x:dxf>
    <x:dxf>
      <x:font>
        <x:color rgb="FF475467"/>
      </x:font>
      <x:fill>
        <x:patternFill>
          <x:bgColor rgb="FFF2F4F7"/>
        </x:patternFill>
      </x:fill>
    </x:dxf>
    <x:dxf>
      <x:font>
        <x:color rgb="FF16324F"/>
      </x:font>
      <x:fill>
        <x:patternFill>
          <x:bgColor rgb="FFEAF2F8"/>
        </x:patternFill>
      </x:fill>
    </x:dxf>
    <x:dxf>
      <x:font>
        <x:color rgb="FF6941C6"/>
      </x:font>
      <x:fill>
        <x:patternFill>
          <x:bgColor rgb="FFF4EBFF"/>
        </x:patternFill>
      </x:fill>
    </x:dxf>
    <x:dxf>
      <x:font>
        <x:color rgb="FF067647"/>
      </x:font>
      <x:fill>
        <x:patternFill>
          <x:bgColor rgb="FFD1FADF"/>
        </x:patternFill>
      </x:fill>
    </x:dxf>
    <x:dxf>
      <x:font>
        <x:color rgb="FFB42318"/>
      </x:font>
      <x:fill>
        <x:patternFill>
          <x:bgColor rgb="FFFEE4E2"/>
        </x:patternFill>
      </x:fill>
    </x:dxf>
    <x:dxf>
      <x:font>
        <x:color rgb="FFB54708"/>
      </x:font>
      <x:fill>
        <x:patternFill>
          <x:bgColor rgb="FFFEF0C7"/>
        </x:patternFill>
      </x:fill>
    </x:dxf>
    <x:dxf>
      <x:font>
        <x:color rgb="FF475467"/>
      </x:font>
      <x:fill>
        <x:patternFill>
          <x:bgColor rgb="FFF2F4F7"/>
        </x:patternFill>
      </x:fill>
    </x:dxf>
    <x:dxf>
      <x:font>
        <x:color rgb="FF067647"/>
      </x:font>
      <x:fill>
        <x:patternFill>
          <x:bgColor rgb="FFD1FADF"/>
        </x:patternFill>
      </x:fill>
    </x:dxf>
    <x:dxf>
      <x:font>
        <x:color rgb="FFB54708"/>
      </x:font>
      <x:fill>
        <x:patternFill>
          <x:bgColor rgb="FFFEF0C7"/>
        </x:patternFill>
      </x:fill>
    </x:dxf>
    <x:dxf>
      <x:font>
        <x:color rgb="FF0B6E75"/>
      </x:font>
      <x:fill>
        <x:patternFill>
          <x:bgColor rgb="FFDDF3F1"/>
        </x:patternFill>
      </x:fill>
    </x:dxf>
    <x:dxf>
      <x:font>
        <x:color rgb="FFB42318"/>
      </x:font>
      <x:fill>
        <x:patternFill>
          <x:bgColor rgb="FFFEE4E2"/>
        </x:patternFill>
      </x:fill>
    </x:dxf>
    <x:dxf>
      <x:font>
        <x:color rgb="FF6941C6"/>
      </x:font>
      <x:fill>
        <x:patternFill>
          <x:bgColor rgb="FFF4EBFF"/>
        </x:patternFill>
      </x:fill>
    </x:dxf>
    <x:dxf>
      <x:font>
        <x:b/>
        <x:color rgb="FF006100"/>
      </x:font>
      <x:fill>
        <x:patternFill>
          <x:bgColor rgb="FFE2F0D9"/>
        </x:patternFill>
      </x:fill>
    </x:dxf>
    <x:dxf>
      <x:font>
        <x:b/>
        <x:color rgb="FF9C6500"/>
      </x:font>
      <x:fill>
        <x:patternFill>
          <x:bgColor rgb="FFFFF2CC"/>
        </x:patternFill>
      </x:fill>
    </x:dxf>
    <x:dxf>
      <x:font>
        <x:b/>
        <x:color rgb="FF9C0006"/>
      </x:font>
      <x:fill>
        <x:patternFill>
          <x:bgColor rgb="FFFCE4D6"/>
        </x:patternFill>
      </x:fill>
    </x:dxf>
    <x:dxf>
      <x:font>
        <x:b/>
        <x:color rgb="FF9C6500"/>
      </x:font>
      <x:fill>
        <x:patternFill>
          <x:bgColor rgb="FFFFF2CC"/>
        </x:patternFill>
      </x:fill>
    </x:dxf>
    <x:dxf>
      <x:font>
        <x:b/>
        <x:color rgb="FF006100"/>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e2a530819ad4f01" /><Relationship Type="http://schemas.openxmlformats.org/officeDocument/2006/relationships/theme" Target="/xl/theme/theme1.xml" Id="Rd6b9446e8baa448b" /><Relationship Type="http://schemas.microsoft.com/office/2022/11/relationships/FeaturePropertyBag" Target="/xl/featurePropertyBag/featurePropertyBag.xml" Id="R22d50ec963364e5a" /><Relationship Type="http://schemas.openxmlformats.org/officeDocument/2006/relationships/sharedStrings" Target="/xl/sharedStrings.xml" Id="R1623fd8119f04c45" /><Relationship Type="http://schemas.openxmlformats.org/officeDocument/2006/relationships/worksheet" Target="/xl/worksheets/sheet1.xml" Id="Rf399e608ab944f1a" /><Relationship Type="http://schemas.openxmlformats.org/officeDocument/2006/relationships/worksheet" Target="/xl/worksheets/sheet2.xml" Id="Rd843408f1d8c4b43" /><Relationship Type="http://schemas.openxmlformats.org/officeDocument/2006/relationships/worksheet" Target="/xl/worksheets/sheet3.xml" Id="Red1daf915fb44c44" /><Relationship Type="http://schemas.openxmlformats.org/officeDocument/2006/relationships/worksheet" Target="/xl/worksheets/sheet4.xml" Id="R6aa14c6b05a046e6" /><Relationship Type="http://schemas.openxmlformats.org/officeDocument/2006/relationships/worksheet" Target="/xl/worksheets/sheet5.xml" Id="R2d54f4f0c1fa446c" /><Relationship Type="http://schemas.openxmlformats.org/officeDocument/2006/relationships/worksheet" Target="/xl/worksheets/sheet6.xml" Id="Rbb5c623d204940f1" /><Relationship Type="http://schemas.openxmlformats.org/officeDocument/2006/relationships/worksheet" Target="/xl/worksheets/sheet7.xml" Id="R58044db24abf4b96" /><Relationship Type="http://schemas.openxmlformats.org/officeDocument/2006/relationships/worksheet" Target="/xl/worksheets/sheet8.xml" Id="R64b496e83ce34cfe" /><Relationship Type="http://schemas.openxmlformats.org/officeDocument/2006/relationships/worksheet" Target="/xl/worksheets/sheet9.xml" Id="Rf34891fd7f8243e0" /><Relationship Type="http://schemas.openxmlformats.org/officeDocument/2006/relationships/worksheet" Target="/xl/worksheets/sheet10.xml" Id="Rb402f4eec43647b2" /><Relationship Type="http://schemas.openxmlformats.org/officeDocument/2006/relationships/worksheet" Target="/xl/worksheets/sheet11.xml" Id="Rb24a302a338046dd" /><Relationship Type="http://schemas.openxmlformats.org/officeDocument/2006/relationships/worksheet" Target="/xl/worksheets/sheet12.xml" Id="R1fb8585de4d842b9" /><Relationship Type="http://schemas.openxmlformats.org/officeDocument/2006/relationships/worksheet" Target="/xl/worksheets/sheet13.xml" Id="R065bfdd89ef8450b" /><Relationship Type="http://schemas.openxmlformats.org/officeDocument/2006/relationships/worksheet" Target="/xl/worksheets/sheet14.xml" Id="Rfb2703ea8f674375" /><Relationship Type="http://schemas.openxmlformats.org/officeDocument/2006/relationships/worksheet" Target="/xl/worksheets/sheet15.xml" Id="Re8eb1a13a4524567" /><Relationship Type="http://schemas.openxmlformats.org/officeDocument/2006/relationships/worksheet" Target="/xl/worksheets/sheet16.xml" Id="Re70cd4037a4a4c4d" /><Relationship Type="http://schemas.openxmlformats.org/officeDocument/2006/relationships/worksheet" Target="/xl/worksheets/sheet17.xml" Id="Rd34063323d084f7a" /></Relationships>
</file>

<file path=xl/drawings/_rels/drawing1.xml.rels>&#65279;<?xml version="1.0" encoding="utf-8"?><Relationships xmlns="http://schemas.openxmlformats.org/package/2006/relationships"><Relationship Type="http://schemas.openxmlformats.org/officeDocument/2006/relationships/chart" Target="/xl/drawings/charts/chart1.xml" Id="R0abf4d32a1ef436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900"/>
              <a:t>152 file phân bố theo khu vực nguồn</a:t>
            </a:r>
          </a:p>
        </c:rich>
      </c:tx>
      <c:overlay val="0"/>
      <c:txPr>
        <a:bodyPr xmlns:a="http://schemas.openxmlformats.org/drawingml/2006/main" anchorCtr="1"/>
        <a:lstStyle xmlns:a="http://schemas.openxmlformats.org/drawingml/2006/main"/>
        <a:p xmlns:a="http://schemas.openxmlformats.org/drawingml/2006/main">
          <a:pPr>
            <a:defRPr sz="900"/>
          </a:pPr>
        </a:p>
      </c:txPr>
    </c:title>
    <c:plotArea>
      <c:barChart>
        <c:barDir val="col"/>
        <c:varyColors val="0"/>
        <c:ser>
          <c:idx val="0"/>
          <c:order val="0"/>
          <c:tx>
            <c:v>PHÂN BỐ THEO KHU VỰC NGUỒN</c:v>
          </c:tx>
          <c:cat>
            <c:strRef>
              <c:f>'Tong_quan'!$A$15:$A$26</c:f>
              <c:strCache>
                <c:ptCount val="0"/>
              </c:strCache>
            </c:strRef>
          </c:cat>
          <c:val>
            <c:numRef>
              <c:f>'Tong_quan'!$B$15:$B$26</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3</xdr:col>
      <xdr:colOff>0</xdr:colOff>
      <xdr:row>13</xdr:row>
      <xdr:rowOff>0</xdr:rowOff>
    </xdr:from>
    <xdr:to>
      <xdr:col>10</xdr:col>
      <xdr:colOff>0</xdr:colOff>
      <xdr:row>29</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0abf4d32a1ef4367"/>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2PConversionMap152" displayName="P2PConversionMap152" ref="A4:Y156" headerRowCount="1" totalsRowCount="0" totalsRowShown="0">
  <x:autoFilter ref="A4:Y156"/>
  <x:tableColumns count="25">
    <x:tableColumn id="1" name="STT"/>
    <x:tableColumn id="2" name="Đường dẫn nguồn trong ZIP"/>
    <x:tableColumn id="3" name="Tên file"/>
    <x:tableColumn id="4" name="Khu vực nguồn"/>
    <x:tableColumn id="5" name="Loại tệp"/>
    <x:tableColumn id="6" name="Kích thước gốc (byte)"/>
    <x:tableColumn id="7" name="CRC32"/>
    <x:tableColumn id="8" name="Metadata/tiêu đề gốc"/>
    <x:tableColumn id="9" name="Chức năng gốc — giải thích tiếng Việt"/>
    <x:tableColumn id="10" name="Nhóm năng lực"/>
    <x:tableColumn id="11" name="Vai trò của bản nguồn"/>
    <x:tableColumn id="12" name="Quan hệ trùng lặp/biến thể"/>
    <x:tableColumn id="13" name="Đích lưu nguồn 1:1"/>
    <x:tableColumn id="14" name="Quy tắc bảo tồn"/>
    <x:tableColumn id="15" name="Loại đích Codex"/>
    <x:tableColumn id="16" name="Đường dẫn vận hành Codex đề xuất"/>
    <x:tableColumn id="17" name="Hành động chuyển đổi"/>
    <x:tableColumn id="18" name="Mức tương thích"/>
    <x:tableColumn id="19" name="Cách nạp khi chạy"/>
    <x:tableColumn id="20" name="Giai đoạn"/>
    <x:tableColumn id="21" name="Ưu tiên"/>
    <x:tableColumn id="22" name="Trạng thái hiện tại"/>
    <x:tableColumn id="23" name="Tiêu chí kiểm thử"/>
    <x:tableColumn id="24" name="Rủi ro/ghi chú"/>
    <x:tableColumn id="25" name="Nguồn Codex chính thức"/>
  </x:tableColumns>
  <x:tableStyleInfo name="TableStyleMedium2" showFirstColumn="0" showLastColumn="0" showRowStripes="1" showColumnStripes="0"/>
</x:table>
</file>

<file path=xl/tables/table2.xml><?xml version="1.0" encoding="utf-8"?>
<x:table xmlns:x="http://schemas.openxmlformats.org/spreadsheetml/2006/main" id="2" name="CapabilityMatrix16" displayName="CapabilityMatrix16" ref="A4:H20" headerRowCount="1" totalsRowCount="0" totalsRowShown="0">
  <x:tableColumns count="8">
    <x:tableColumn id="1" name="Nhóm năng lực"/>
    <x:tableColumn id="2" name="Số file"/>
    <x:tableColumn id="3" name="Ý nghĩa"/>
    <x:tableColumn id="4" name="Đích Codex"/>
    <x:tableColumn id="5" name="Cách bảo tồn"/>
    <x:tableColumn id="6" name="Giai đoạn"/>
    <x:tableColumn id="7" name="Kiểm thử chính"/>
    <x:tableColumn id="8" name="Gate/ưu tiên"/>
  </x:tableColumns>
  <x:tableStyleInfo name="TableStyleMedium4" showFirstColumn="0" showLastColumn="0" showRowStripes="1" showColumnStripes="0"/>
</x:table>
</file>

<file path=xl/tables/table3.xml><?xml version="1.0" encoding="utf-8"?>
<x:table xmlns:x="http://schemas.openxmlformats.org/spreadsheetml/2006/main" id="3" name="ConversionRoadmap9" displayName="ConversionRoadmap9" ref="A4:I13" headerRowCount="1" totalsRowCount="0" totalsRowShown="0">
  <x:tableColumns count="9">
    <x:tableColumn id="1" name="Giai đoạn"/>
    <x:tableColumn id="2" name="Số file"/>
    <x:tableColumn id="3" name="Mục tiêu"/>
    <x:tableColumn id="4" name="Đầu ra"/>
    <x:tableColumn id="5" name="Điều kiện vào"/>
    <x:tableColumn id="6" name="Điều kiện ra"/>
    <x:tableColumn id="7" name="Rủi ro chính"/>
    <x:tableColumn id="8" name="Quyết định của người dùng"/>
    <x:tableColumn id="9" name="Phụ thuộc"/>
  </x:tableColumns>
  <x:tableStyleInfo name="TableStyleMedium2" showFirstColumn="0" showLastColumn="0" showRowStripes="1" showColumnStripes="0"/>
</x:table>
</file>

<file path=xl/tables/table4.xml><?xml version="1.0" encoding="utf-8"?>
<x:table xmlns:x="http://schemas.openxmlformats.org/spreadsheetml/2006/main" id="4" name="ConversionRuleCodes" displayName="ConversionRuleCodes" ref="A4:F20" headerRowCount="1" totalsRowCount="0" totalsRowShown="0">
  <x:tableColumns count="6">
    <x:tableColumn id="1" name="Mã"/>
    <x:tableColumn id="2" name="Nghĩa cho người mới"/>
    <x:tableColumn id="3" name="Dùng khi"/>
    <x:tableColumn id="4" name="Không được làm"/>
    <x:tableColumn id="5" name="Kiểm thử bắt buộc"/>
    <x:tableColumn id="6" name="Ví dụ"/>
  </x:tableColumns>
  <x:tableStyleInfo name="TableStyleMedium4" showFirstColumn="0" showLastColumn="0" showRowStripes="1" showColumnStripes="0"/>
</x:table>
</file>

<file path=xl/tables/table5.xml><?xml version="1.0" encoding="utf-8"?>
<x:table xmlns:x="http://schemas.openxmlformats.org/spreadsheetml/2006/main" id="5" name="OfficialCodexSources" displayName="OfficialCodexSources" ref="A4:E13" headerRowCount="1" totalsRowCount="0" totalsRowShown="0">
  <x:tableColumns count="5">
    <x:tableColumn id="1" name="Chủ đề"/>
    <x:tableColumn id="2" name="URL chính thức"/>
    <x:tableColumn id="3" name="Thông tin dùng trong bản đồ"/>
    <x:tableColumn id="4" name="Ảnh hưởng đến ánh xạ"/>
    <x:tableColumn id="5" name="Ngày kiểm tra"/>
  </x:tableColumns>
  <x:tableStyleInfo name="TableStyleMedium2" showFirstColumn="0" showLastColumn="0" showRowStripes="1" showColumnStripes="0"/>
</x:table>
</file>

<file path=xl/tables/table6.xml><?xml version="1.0" encoding="utf-8"?>
<x:table xmlns:x="http://schemas.openxmlformats.org/spreadsheetml/2006/main" id="6" name="P2PSupplementalSources" displayName="P2PSupplementalSources" ref="A4:K9" headerRowCount="1" totalsRowCount="0" totalsRowShown="0">
  <x:tableColumns count="11">
    <x:tableColumn id="1" name="ID nguồn"/>
    <x:tableColumn id="2" name="Loại"/>
    <x:tableColumn id="3" name="Tên"/>
    <x:tableColumn id="4" name="URL/đường dẫn"/>
    <x:tableColumn id="5" name="Ngày audit"/>
    <x:tableColumn id="6" name="SHA-256"/>
    <x:tableColumn id="7" name="Quy mô đã biết"/>
    <x:tableColumn id="8" name="Trạng thái tích hợp"/>
    <x:tableColumn id="9" name="Quan hệ baseline"/>
    <x:tableColumn id="10" name="Quy tắc cập nhật"/>
    <x:tableColumn id="11" name="Ghi chú/quyền"/>
  </x:tableColumns>
  <x:tableStyleInfo name="TableStyleMedium2" showFirstColumn="0" showLastColumn="0" showRowStripes="1" showColumnStripes="0"/>
</x:table>
</file>

<file path=xl/tables/table7.xml><?xml version="1.0" encoding="utf-8"?>
<x:table xmlns:x="http://schemas.openxmlformats.org/spreadsheetml/2006/main" id="7" name="P2PIdeaCompassSteps" displayName="P2PIdeaCompassSteps" ref="A11:H18" headerRowCount="1" totalsRowCount="0" totalsRowShown="0">
  <x:tableColumns count="8">
    <x:tableColumn id="1" name="Bước"/>
    <x:tableColumn id="2" name="Việc AI làm"/>
    <x:tableColumn id="3" name="Khi dùng"/>
    <x:tableColumn id="4" name="Bằng chứng"/>
    <x:tableColumn id="5" name="Đầu ra"/>
    <x:tableColumn id="6" name="Route tiếp"/>
    <x:tableColumn id="7" name="Phải tránh"/>
    <x:tableColumn id="8" name="Gate đạt"/>
  </x:tableColumns>
  <x:tableStyleInfo name="TableStyleMedium2" showFirstColumn="0" showLastColumn="0" showRowStripes="1" showColumnStripes="0"/>
</x:table>
</file>

<file path=xl/tables/table8.xml><?xml version="1.0" encoding="utf-8"?>
<x:table xmlns:x="http://schemas.openxmlformats.org/spreadsheetml/2006/main" id="8" name="P2PUpdateWorkflow8" displayName="P2PUpdateWorkflow8" ref="A12:H20" headerRowCount="1" totalsRowCount="0" totalsRowShown="0">
  <x:tableColumns count="8">
    <x:tableColumn id="1" name="Bước"/>
    <x:tableColumn id="2" name="Kích hoạt"/>
    <x:tableColumn id="3" name="Thành làm"/>
    <x:tableColumn id="4" name="AI làm"/>
    <x:tableColumn id="5" name="Sheet chính"/>
    <x:tableColumn id="6" name="Gate đạt"/>
    <x:tableColumn id="7" name="Phải dừng khi"/>
    <x:tableColumn id="8" name="Kết quả"/>
  </x:tableColumns>
  <x:tableStyleInfo name="TableStyleMedium2" showFirstColumn="0" showLastColumn="0" showRowStripes="1" showColumnStripes="0"/>
</x:table>
</file>

<file path=xl/tables/table9.xml><?xml version="1.0" encoding="utf-8"?>
<x:table xmlns:x="http://schemas.openxmlformats.org/spreadsheetml/2006/main" id="9" name="P2PVersionComparison" displayName="P2PVersionComparison" ref="A8:O160" headerRowCount="1" totalsRowCount="0" totalsRowShown="0">
  <x:autoFilter ref="A8:O160"/>
  <x:tableColumns count="15">
    <x:tableColumn id="1" name="ID bền"/>
    <x:tableColumn id="2" name="Nhóm năng lực"/>
    <x:tableColumn id="3" name="Mã logic"/>
    <x:tableColumn id="4" name="Path baseline"/>
    <x:tableColumn id="5" name="Path bản mới"/>
    <x:tableColumn id="6" name="CRC baseline"/>
    <x:tableColumn id="7" name="CRC bản mới"/>
    <x:tableColumn id="8" name="Loại thay đổi"/>
    <x:tableColumn id="9" name="Tác động chức năng"/>
    <x:tableColumn id="10" name="Quyết định bảo tồn"/>
    <x:tableColumn id="11" name="Hành động chuyển đổi"/>
    <x:tableColumn id="12" name="Đích Codex"/>
    <x:tableColumn id="13" name="Test hồi quy"/>
    <x:tableColumn id="14" name="Trạng thái xử lý"/>
    <x:tableColumn id="15" name="Ghi chú/rủi ro"/>
  </x:tableColumns>
  <x:tableStyleInfo name="TableStyleMedium2" showFirstColumn="0" showLastColumn="0" showRowStripes="1" showColumnStripes="0"/>
</x:table>
</file>

<file path=xl/tables/table10.xml><?xml version="1.0" encoding="utf-8"?>
<x:table xmlns:x="http://schemas.openxmlformats.org/spreadsheetml/2006/main" id="10" name="P2PUpdateHistory" displayName="P2PUpdateHistory" ref="A4:N6" headerRowCount="1" totalsRowCount="0" totalsRowShown="0">
  <x:tableColumns count="14">
    <x:tableColumn id="1" name="Release"/>
    <x:tableColumn id="2" name="Ngày release"/>
    <x:tableColumn id="3" name="URL nguồn"/>
    <x:tableColumn id="4" name="ZIP SHA-256"/>
    <x:tableColumn id="5" name="Tổng file"/>
    <x:tableColumn id="6" name="Thêm mới"/>
    <x:tableColumn id="7" name="Sửa nội dung"/>
    <x:tableColumn id="8" name="Đổi tên/di chuyển"/>
    <x:tableColumn id="9" name="Không còn"/>
    <x:tableColumn id="10" name="Không đổi"/>
    <x:tableColumn id="11" name="Schema bản đồ"/>
    <x:tableColumn id="12" name="Ngày so sánh"/>
    <x:tableColumn id="13" name="Kết quả gate"/>
    <x:tableColumn id="14" name="Ghi chú"/>
  </x:tableColumns>
  <x:tableStyleInfo name="TableStyleMedium4" showFirstColumn="0" showLastColumn="0" showRowStripes="1" showColumnStripes="0"/>
</x:table>
</file>

<file path=xl/tables/table11.xml><?xml version="1.0" encoding="utf-8"?>
<x:table xmlns:x="http://schemas.openxmlformats.org/spreadsheetml/2006/main" id="11" name="FactLedgerTable" displayName="FactLedgerTable" ref="A4:O13" headerRowCount="1" totalsRowCount="0" totalsRowShown="0">
  <x:tableColumns count="15">
    <x:tableColumn id="1" name="Claim ID"/>
    <x:tableColumn id="2" name="Loại"/>
    <x:tableColumn id="3" name="Nội dung claim"/>
    <x:tableColumn id="4" name="Product"/>
    <x:tableColumn id="5" name="Surface"/>
    <x:tableColumn id="6" name="Scope bổ sung"/>
    <x:tableColumn id="7" name="Bằng chứng"/>
    <x:tableColumn id="8" name="Loại nguồn"/>
    <x:tableColumn id="9" name="Ngày kiểm tra"/>
    <x:tableColumn id="10" name="Hết hạn"/>
    <x:tableColumn id="11" name="Trạng thái xác minh"/>
    <x:tableColumn id="12" name="Vòng đời"/>
    <x:tableColumn id="13" name="Routing"/>
    <x:tableColumn id="14" name="Runtime"/>
    <x:tableColumn id="15" name="Nguồn"/>
  </x:tableColumns>
  <x:tableStyleInfo name="TableStyleMedium2" showFirstColumn="0" showLastColumn="0" showRowStripes="1" showColumnStripes="0"/>
</x:table>
</file>

<file path=xl/tables/table12.xml><?xml version="1.0" encoding="utf-8"?>
<x:table xmlns:x="http://schemas.openxmlformats.org/spreadsheetml/2006/main" id="12" name="ProjectEvalTable" displayName="ProjectEvalTable" ref="A4:N7" headerRowCount="1" totalsRowCount="0" totalsRowShown="0">
  <x:tableColumns count="14">
    <x:tableColumn id="1" name="Case ID"/>
    <x:tableColumn id="2" name="Tên ca"/>
    <x:tableColumn id="3" name="Tác vụ dùng cho cả hai lượt"/>
    <x:tableColumn id="4" name="Fixture đã khóa"/>
    <x:tableColumn id="5" name="Tags"/>
    <x:tableColumn id="6" name="Tiêu chí quan sát được"/>
    <x:tableColumn id="7" name="Grader"/>
    <x:tableColumn id="8" name="Weight"/>
    <x:tableColumn id="9" name="Baseline status"/>
    <x:tableColumn id="10" name="Baseline score"/>
    <x:tableColumn id="11" name="P2P status"/>
    <x:tableColumn id="12" name="P2P score"/>
    <x:tableColumn id="13" name="Delta"/>
    <x:tableColumn id="14" name="Evidence / ghi chú"/>
  </x:tableColumns>
  <x:tableStyleInfo name="TableStyleMedium2" showFirstColumn="0" showLastColumn="0" showRowStripes="1" showColumnStripes="0"/>
</x:table>
</file>

<file path=xl/tables/table13.xml><?xml version="1.0" encoding="utf-8"?>
<x:table xmlns:x="http://schemas.openxmlformats.org/spreadsheetml/2006/main" id="13" name="RagRetrievalCheckTable" displayName="RagRetrievalCheckTable" ref="A4:P10" headerRowCount="1" totalsRowCount="0" totalsRowShown="0">
  <x:tableColumns count="16">
    <x:tableColumn id="1" name="Query ID"/>
    <x:tableColumn id="2" name="Loại ca"/>
    <x:tableColumn id="3" name="Câu hỏi"/>
    <x:tableColumn id="4" name="Expected source IDs"/>
    <x:tableColumn id="5" name="Retrieved source IDs"/>
    <x:tableColumn id="6" name="Top k"/>
    <x:tableColumn id="7" name="Recall hit"/>
    <x:tableColumn id="8" name="Answer claims"/>
    <x:tableColumn id="9" name="Grounded claims"/>
    <x:tableColumn id="10" name="Grounding rate"/>
    <x:tableColumn id="11" name="Citations"/>
    <x:tableColumn id="12" name="Verifiable citations"/>
    <x:tableColumn id="13" name="Citation rate"/>
    <x:tableColumn id="14" name="Injection obeyed"/>
    <x:tableColumn id="15" name="Boundary breach"/>
    <x:tableColumn id="16" name="Ghi chú"/>
  </x:tableColumns>
  <x:tableStyleInfo name="TableStyleMedium2" showFirstColumn="0" showLastColumn="0" showRowStripes="1" showColumnStripes="0"/>
</x:table>
</file>

<file path=xl/tables/table14.xml><?xml version="1.0" encoding="utf-8"?>
<x:table xmlns:x="http://schemas.openxmlformats.org/spreadsheetml/2006/main" id="14" name="DriftGateTable" displayName="DriftGateTable" ref="A4:H12" headerRowCount="1" totalsRowCount="0" totalsRowShown="0">
  <x:tableColumns count="8">
    <x:tableColumn id="1" name="Gate"/>
    <x:tableColumn id="2" name="Khi nào chạy"/>
    <x:tableColumn id="3" name="Bằng chứng"/>
    <x:tableColumn id="4" name="Lệnh/cơ chế"/>
    <x:tableColumn id="5" name="Điều kiện PASS"/>
    <x:tableColumn id="6" name="Chặn release?"/>
    <x:tableColumn id="7" name="Trạng thái mẫu"/>
    <x:tableColumn id="8"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63038e7a835d4142" /></Relationships>
</file>

<file path=xl/worksheets/_rels/sheet2.xml.rels>&#65279;<?xml version="1.0" encoding="utf-8"?><Relationships xmlns="http://schemas.openxmlformats.org/package/2006/relationships"><Relationship Type="http://schemas.openxmlformats.org/officeDocument/2006/relationships/table" Target="/xl/tables/table1.xml" Id="R17563fbd78894bc0" /></Relationships>
</file>

<file path=xl/worksheets/_rels/sheet3.xml.rels>&#65279;<?xml version="1.0" encoding="utf-8"?><Relationships xmlns="http://schemas.openxmlformats.org/package/2006/relationships"><Relationship Type="http://schemas.openxmlformats.org/officeDocument/2006/relationships/table" Target="/xl/tables/table2.xml" Id="R1599f7f62c624985" /></Relationships>
</file>

<file path=xl/worksheets/_rels/sheet4.xml.rels>&#65279;<?xml version="1.0" encoding="utf-8"?><Relationships xmlns="http://schemas.openxmlformats.org/package/2006/relationships"><Relationship Type="http://schemas.openxmlformats.org/officeDocument/2006/relationships/table" Target="/xl/tables/table3.xml" Id="R636fa04d86bc4f35" /></Relationships>
</file>

<file path=xl/worksheets/_rels/sheet5.xml.rels>&#65279;<?xml version="1.0" encoding="utf-8"?><Relationships xmlns="http://schemas.openxmlformats.org/package/2006/relationships"><Relationship Type="http://schemas.openxmlformats.org/officeDocument/2006/relationships/table" Target="/xl/tables/table4.xml" Id="R6de964353191480d" /></Relationships>
</file>

<file path=xl/worksheets/_rels/sheet6.xml.rels>&#65279;<?xml version="1.0" encoding="utf-8"?><Relationships xmlns="http://schemas.openxmlformats.org/package/2006/relationships"><Relationship Type="http://schemas.openxmlformats.org/officeDocument/2006/relationships/table" Target="/xl/tables/table5.xml" Id="Rbb31c011523f4296" /></Relationships>
</file>

<file path=xl/worksheets/_rels/sheet7.xml.rels>&#65279;<?xml version="1.0" encoding="utf-8"?><Relationships xmlns="http://schemas.openxmlformats.org/package/2006/relationships"><Relationship Type="http://schemas.openxmlformats.org/officeDocument/2006/relationships/table" Target="/xl/tables/table6.xml" Id="Rfd08126266724e1c" /></Relationships>
</file>

<file path=xl/worksheets/_rels/sheet8.xml.rels>&#65279;<?xml version="1.0" encoding="utf-8"?><Relationships xmlns="http://schemas.openxmlformats.org/package/2006/relationships"><Relationship Type="http://schemas.openxmlformats.org/officeDocument/2006/relationships/table" Target="/xl/tables/table7.xml" Id="R709d328a0ed2459e" /></Relationships>
</file>

<file path=xl/worksheets/_rels/sheet9.xml.rels>&#65279;<?xml version="1.0" encoding="utf-8"?><Relationships xmlns="http://schemas.openxmlformats.org/package/2006/relationships"><Relationship Type="http://schemas.openxmlformats.org/officeDocument/2006/relationships/table" Target="/xl/tables/table8.xml" Id="Rb3544ba539184c49" /></Relationships>
</file>

<file path=xl/worksheets/_rels/sheet10.xml.rels>&#65279;<?xml version="1.0" encoding="utf-8"?><Relationships xmlns="http://schemas.openxmlformats.org/package/2006/relationships"><Relationship Type="http://schemas.openxmlformats.org/officeDocument/2006/relationships/table" Target="/xl/tables/table9.xml" Id="R1f2c4f1fbdb548f0" /></Relationships>
</file>

<file path=xl/worksheets/_rels/sheet11.xml.rels>&#65279;<?xml version="1.0" encoding="utf-8"?><Relationships xmlns="http://schemas.openxmlformats.org/package/2006/relationships"><Relationship Type="http://schemas.openxmlformats.org/officeDocument/2006/relationships/table" Target="/xl/tables/table10.xml" Id="R15b77b61055044e6" /></Relationships>
</file>

<file path=xl/worksheets/_rels/sheet13.xml.rels>&#65279;<?xml version="1.0" encoding="utf-8"?><Relationships xmlns="http://schemas.openxmlformats.org/package/2006/relationships"><Relationship Type="http://schemas.openxmlformats.org/officeDocument/2006/relationships/table" Target="/xl/tables/table11.xml" Id="Rdc6e2774d697491c" /></Relationships>
</file>

<file path=xl/worksheets/_rels/sheet14.xml.rels>&#65279;<?xml version="1.0" encoding="utf-8"?><Relationships xmlns="http://schemas.openxmlformats.org/package/2006/relationships"><Relationship Type="http://schemas.openxmlformats.org/officeDocument/2006/relationships/table" Target="/xl/tables/table12.xml" Id="R884e5f81b62d4926" /></Relationships>
</file>

<file path=xl/worksheets/_rels/sheet15.xml.rels>&#65279;<?xml version="1.0" encoding="utf-8"?><Relationships xmlns="http://schemas.openxmlformats.org/package/2006/relationships"><Relationship Type="http://schemas.openxmlformats.org/officeDocument/2006/relationships/table" Target="/xl/tables/table13.xml" Id="R98cdc78a47404e9f" /></Relationships>
</file>

<file path=xl/worksheets/_rels/sheet16.xml.rels>&#65279;<?xml version="1.0" encoding="utf-8"?><Relationships xmlns="http://schemas.openxmlformats.org/package/2006/relationships"><Relationship Type="http://schemas.openxmlformats.org/officeDocument/2006/relationships/table" Target="/xl/tables/table14.xml" Id="Rf73bdec0f308474e" /></Relationships>
</file>

<file path=xl/worksheets/sheet1.xml><?xml version="1.0" encoding="utf-8"?>
<x:worksheet xmlns:x="http://schemas.openxmlformats.org/spreadsheetml/2006/main">
  <x:sheetViews>
    <x:sheetView showGridLines="0" workbookViewId="0"/>
  </x:sheetViews>
  <x:sheetFormatPr defaultRowHeight="15"/>
  <x:cols>
    <x:col min="1" max="1" width="30" hidden="0" customWidth="1"/>
    <x:col min="2" max="2" width="12" hidden="0" customWidth="1"/>
    <x:col min="3" max="3" width="5"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24" hidden="0" customWidth="1"/>
    <x:col min="13" max="13" width="12" hidden="0" customWidth="1"/>
    <x:col min="14" max="14" width="38" hidden="0" customWidth="1"/>
  </x:cols>
  <x:sheetData>
    <x:row r="1" ht="34" customHeight="1">
      <x:c r="A1" s="4" t="str">
        <x:v>TỔNG QUAN — CHUYỂN P2P 8.4.6-C SANG CODEX MÀ KHÔNG BỎ FILE</x:v>
      </x:c>
      <x:c r="B1" s="4" t="str">
        <x:v>TỔNG QUAN — CHUYỂN P2P 8.4.6-C SANG CODEX MÀ KHÔNG BỎ FILE</x:v>
      </x:c>
      <x:c r="C1" s="4" t="str">
        <x:v>TỔNG QUAN — CHUYỂN P2P 8.4.6-C SANG CODEX MÀ KHÔNG BỎ FILE</x:v>
      </x:c>
      <x:c r="D1" s="4" t="str">
        <x:v>TỔNG QUAN — CHUYỂN P2P 8.4.6-C SANG CODEX MÀ KHÔNG BỎ FILE</x:v>
      </x:c>
      <x:c r="E1" s="4" t="str">
        <x:v>TỔNG QUAN — CHUYỂN P2P 8.4.6-C SANG CODEX MÀ KHÔNG BỎ FILE</x:v>
      </x:c>
      <x:c r="F1" s="4" t="str">
        <x:v>TỔNG QUAN — CHUYỂN P2P 8.4.6-C SANG CODEX MÀ KHÔNG BỎ FILE</x:v>
      </x:c>
      <x:c r="G1" s="4" t="str">
        <x:v>TỔNG QUAN — CHUYỂN P2P 8.4.6-C SANG CODEX MÀ KHÔNG BỎ FILE</x:v>
      </x:c>
      <x:c r="H1" s="4" t="str">
        <x:v>TỔNG QUAN — CHUYỂN P2P 8.4.6-C SANG CODEX MÀ KHÔNG BỎ FILE</x:v>
      </x:c>
      <x:c r="I1" s="4" t="str">
        <x:v>TỔNG QUAN — CHUYỂN P2P 8.4.6-C SANG CODEX MÀ KHÔNG BỎ FILE</x:v>
      </x:c>
      <x:c r="J1" s="4" t="str">
        <x:v>TỔNG QUAN — CHUYỂN P2P 8.4.6-C SANG CODEX MÀ KHÔNG BỎ FILE</x:v>
      </x:c>
      <x:c r="K1" s="4" t="str">
        <x:v>TỔNG QUAN — CHUYỂN P2P 8.4.6-C SANG CODEX MÀ KHÔNG BỎ FILE</x:v>
      </x:c>
      <x:c r="L1" s="4" t="str">
        <x:v>TỔNG QUAN — CHUYỂN P2P 8.4.6-C SANG CODEX MÀ KHÔNG BỎ FILE</x:v>
      </x:c>
      <x:c r="M1" s="4" t="str">
        <x:v>TỔNG QUAN — CHUYỂN P2P 8.4.6-C SANG CODEX MÀ KHÔNG BỎ FILE</x:v>
      </x:c>
      <x:c r="N1" s="4" t="str">
        <x:v>TỔNG QUAN — CHUYỂN P2P 8.4.6-C SANG CODEX MÀ KHÔNG BỎ FILE</x:v>
      </x:c>
    </x:row>
    <x:row r="2" ht="32" customHeight="1">
      <x:c r="A2" s="8" t="str">
        <x:v>Kết luận codex.4: bảo tồn 152/152; 22 Skill + 8 agent; FACT/Live, eval, RAG, runtime drift, rollback và user approval gắn hash là chuỗi bắt buộc.</x:v>
      </x:c>
      <x:c r="B2" s="8" t="str">
        <x:v>Kết luận codex.4: bảo tồn 152/152; 22 Skill + 8 agent; FACT/Live, eval, RAG, runtime drift, rollback và user approval gắn hash là chuỗi bắt buộc.</x:v>
      </x:c>
      <x:c r="C2" s="8" t="str">
        <x:v>Kết luận codex.4: bảo tồn 152/152; 22 Skill + 8 agent; FACT/Live, eval, RAG, runtime drift, rollback và user approval gắn hash là chuỗi bắt buộc.</x:v>
      </x:c>
      <x:c r="D2" s="8" t="str">
        <x:v>Kết luận codex.4: bảo tồn 152/152; 22 Skill + 8 agent; FACT/Live, eval, RAG, runtime drift, rollback và user approval gắn hash là chuỗi bắt buộc.</x:v>
      </x:c>
      <x:c r="E2" s="8" t="str">
        <x:v>Kết luận codex.4: bảo tồn 152/152; 22 Skill + 8 agent; FACT/Live, eval, RAG, runtime drift, rollback và user approval gắn hash là chuỗi bắt buộc.</x:v>
      </x:c>
      <x:c r="F2" s="8" t="str">
        <x:v>Kết luận codex.4: bảo tồn 152/152; 22 Skill + 8 agent; FACT/Live, eval, RAG, runtime drift, rollback và user approval gắn hash là chuỗi bắt buộc.</x:v>
      </x:c>
      <x:c r="G2" s="8" t="str">
        <x:v>Kết luận codex.4: bảo tồn 152/152; 22 Skill + 8 agent; FACT/Live, eval, RAG, runtime drift, rollback và user approval gắn hash là chuỗi bắt buộc.</x:v>
      </x:c>
      <x:c r="H2" s="8" t="str">
        <x:v>Kết luận codex.4: bảo tồn 152/152; 22 Skill + 8 agent; FACT/Live, eval, RAG, runtime drift, rollback và user approval gắn hash là chuỗi bắt buộc.</x:v>
      </x:c>
      <x:c r="I2" s="8" t="str">
        <x:v>Kết luận codex.4: bảo tồn 152/152; 22 Skill + 8 agent; FACT/Live, eval, RAG, runtime drift, rollback và user approval gắn hash là chuỗi bắt buộc.</x:v>
      </x:c>
      <x:c r="J2" s="8" t="str">
        <x:v>Kết luận codex.4: bảo tồn 152/152; 22 Skill + 8 agent; FACT/Live, eval, RAG, runtime drift, rollback và user approval gắn hash là chuỗi bắt buộc.</x:v>
      </x:c>
      <x:c r="K2" s="8" t="str">
        <x:v>Kết luận codex.4: bảo tồn 152/152; 22 Skill + 8 agent; FACT/Live, eval, RAG, runtime drift, rollback và user approval gắn hash là chuỗi bắt buộc.</x:v>
      </x:c>
      <x:c r="L2" s="8" t="str">
        <x:v>Kết luận codex.4: bảo tồn 152/152; 22 Skill + 8 agent; FACT/Live, eval, RAG, runtime drift, rollback và user approval gắn hash là chuỗi bắt buộc.</x:v>
      </x:c>
      <x:c r="M2" s="8" t="str">
        <x:v>Kết luận codex.4: bảo tồn 152/152; 22 Skill + 8 agent; FACT/Live, eval, RAG, runtime drift, rollback và user approval gắn hash là chuỗi bắt buộc.</x:v>
      </x:c>
      <x:c r="N2" s="8" t="str">
        <x:v>Kết luận codex.4: bảo tồn 152/152; 22 Skill + 8 agent; FACT/Live, eval, RAG, runtime drift, rollback và user approval gắn hash là chuỗi bắt buộc.</x:v>
      </x:c>
    </x:row>
    <x:row r="4">
      <x:c r="A4" s="27" t="str">
        <x:v>TỔNG FILE</x:v>
      </x:c>
      <x:c r="B4" s="27" t="str">
        <x:v>TỔNG FILE</x:v>
      </x:c>
      <x:c r="D4" s="27" t="str">
        <x:v>BYTE GIẢI NÉN</x:v>
      </x:c>
      <x:c r="E4" s="27" t="str">
        <x:v>BYTE GIẢI NÉN</x:v>
      </x:c>
      <x:c r="G4" s="27" t="str">
        <x:v>ĐÃ GÁN ĐÍCH LƯU NGUỒN</x:v>
      </x:c>
      <x:c r="H4" s="27" t="str">
        <x:v>ĐÃ GÁN ĐÍCH LƯU NGUỒN</x:v>
      </x:c>
      <x:c r="J4" s="27" t="str">
        <x:v>FILE THUỘC NHÓM TRÙNG BYTE</x:v>
      </x:c>
      <x:c r="K4" s="27" t="str">
        <x:v>FILE THUỘC NHÓM TRÙNG BYTE</x:v>
      </x:c>
      <x:c r="M4" s="27" t="str">
        <x:v>SKILL / AGENT CODEX</x:v>
      </x:c>
      <x:c r="N4" s="27" t="str">
        <x:v>SKILL / AGENT CODEX</x:v>
      </x:c>
    </x:row>
    <x:row r="5">
      <x:c r="A5" s="42" t="n">
        <x:f>COUNTA('Ban_do_152_file'!$B$5:$B$156)</x:f>
        <x:v>152</x:v>
      </x:c>
      <x:c r="B5" s="43"/>
      <x:c r="D5" s="54" t="n">
        <x:f>SUM('Ban_do_152_file'!$F$5:$F$156)</x:f>
        <x:v>1502479</x:v>
      </x:c>
      <x:c r="E5" s="55"/>
      <x:c r="G5" s="42" t="n">
        <x:f>COUNTA('Ban_do_152_file'!$M$5:$M$156)</x:f>
        <x:v>152</x:v>
      </x:c>
      <x:c r="H5" s="43"/>
      <x:c r="J5" s="42" t="n">
        <x:f>COUNTIF('Ban_do_152_file'!$G$5:$G$156,"BA80EB3C")+COUNTIF('Ban_do_152_file'!$G$5:$G$156,"A9F39606")+COUNTIF('Ban_do_152_file'!$G$5:$G$156,"64C65DDA")+COUNTIF('Ban_do_152_file'!$G$5:$G$156,"1E68D4BB")+COUNTIF('Ban_do_152_file'!$G$5:$G$156,"77202E54")+COUNTIF('Ban_do_152_file'!$G$5:$G$156,"3D524F4D")+COUNTIF('Ban_do_152_file'!$G$5:$G$156,"E2130F54")+COUNTIF('Ban_do_152_file'!$G$5:$G$156,"4B95ED1A")</x:f>
        <x:v>16</x:v>
      </x:c>
      <x:c r="K5" s="43"/>
      <x:c r="M5" s="42" t="str">
        <x:v>22 / 8</x:v>
      </x:c>
      <x:c r="N5" s="43"/>
    </x:row>
    <x:row r="6">
      <x:c r="A6" s="44"/>
      <x:c r="B6" s="45"/>
      <x:c r="D6" s="56"/>
      <x:c r="E6" s="57"/>
      <x:c r="G6" s="44"/>
      <x:c r="H6" s="45"/>
      <x:c r="J6" s="44"/>
      <x:c r="K6" s="45"/>
      <x:c r="M6" s="44"/>
      <x:c r="N6" s="45"/>
    </x:row>
    <x:row r="8">
      <x:c r="A8" s="59" t="str">
        <x:v>CÁCH ĐỌC CHO NGƯỜI MỚI</x:v>
      </x:c>
      <x:c r="B8" s="59" t="str">
        <x:v>CÁCH ĐỌC CHO NGƯỜI MỚI</x:v>
      </x:c>
      <x:c r="C8" s="59" t="str">
        <x:v>CÁCH ĐỌC CHO NGƯỜI MỚI</x:v>
      </x:c>
      <x:c r="D8" s="59" t="str">
        <x:v>CÁCH ĐỌC CHO NGƯỜI MỚI</x:v>
      </x:c>
      <x:c r="E8" s="59" t="str">
        <x:v>CÁCH ĐỌC CHO NGƯỜI MỚI</x:v>
      </x:c>
      <x:c r="F8" s="59" t="str">
        <x:v>CÁCH ĐỌC CHO NGƯỜI MỚI</x:v>
      </x:c>
      <x:c r="G8" s="59" t="str">
        <x:v>CÁCH ĐỌC CHO NGƯỜI MỚI</x:v>
      </x:c>
      <x:c r="H8" s="59" t="str">
        <x:v>CÁCH ĐỌC CHO NGƯỜI MỚI</x:v>
      </x:c>
      <x:c r="I8" s="59" t="str">
        <x:v>CÁCH ĐỌC CHO NGƯỜI MỚI</x:v>
      </x:c>
      <x:c r="J8" s="59" t="str">
        <x:v>CÁCH ĐỌC CHO NGƯỜI MỚI</x:v>
      </x:c>
      <x:c r="K8" s="59" t="str">
        <x:v>CÁCH ĐỌC CHO NGƯỜI MỚI</x:v>
      </x:c>
      <x:c r="L8" s="59" t="str">
        <x:v>CÁCH ĐỌC CHO NGƯỜI MỚI</x:v>
      </x:c>
      <x:c r="M8" s="59" t="str">
        <x:v>CÁCH ĐỌC CHO NGƯỜI MỚI</x:v>
      </x:c>
      <x:c r="N8" s="59" t="str">
        <x:v>CÁCH ĐỌC CHO NGƯỜI MỚI</x:v>
      </x:c>
    </x:row>
    <x:row r="9" ht="27" customHeight="1">
      <x:c r="A9" s="61" t="str">
        <x:v>1 · File gốc</x:v>
      </x:c>
      <x:c r="B9" s="61" t="str">
        <x:v>1 · File gốc</x:v>
      </x:c>
      <x:c r="C9" s="61" t="str">
        <x:v>1 · File gốc</x:v>
      </x:c>
      <x:c r="D9" s="65" t="str">
        <x:v>Cột B là file thật trong ZIP; cột G là CRC32 để kiểm tra không đổi nội dung.</x:v>
      </x:c>
      <x:c r="E9" s="65" t="str">
        <x:v>Cột B là file thật trong ZIP; cột G là CRC32 để kiểm tra không đổi nội dung.</x:v>
      </x:c>
      <x:c r="F9" s="65" t="str">
        <x:v>Cột B là file thật trong ZIP; cột G là CRC32 để kiểm tra không đổi nội dung.</x:v>
      </x:c>
      <x:c r="G9" s="65" t="str">
        <x:v>Cột B là file thật trong ZIP; cột G là CRC32 để kiểm tra không đổi nội dung.</x:v>
      </x:c>
      <x:c r="H9" s="65" t="str">
        <x:v>Cột B là file thật trong ZIP; cột G là CRC32 để kiểm tra không đổi nội dung.</x:v>
      </x:c>
      <x:c r="I9" s="65" t="str">
        <x:v>Cột B là file thật trong ZIP; cột G là CRC32 để kiểm tra không đổi nội dung.</x:v>
      </x:c>
      <x:c r="J9" s="65" t="str">
        <x:v>Cột B là file thật trong ZIP; cột G là CRC32 để kiểm tra không đổi nội dung.</x:v>
      </x:c>
      <x:c r="K9" s="65" t="str">
        <x:v>Cột B là file thật trong ZIP; cột G là CRC32 để kiểm tra không đổi nội dung.</x:v>
      </x:c>
      <x:c r="L9" s="65" t="str">
        <x:v>Cột B là file thật trong ZIP; cột G là CRC32 để kiểm tra không đổi nội dung.</x:v>
      </x:c>
      <x:c r="M9" s="65" t="str">
        <x:v>Cột B là file thật trong ZIP; cột G là CRC32 để kiểm tra không đổi nội dung.</x:v>
      </x:c>
      <x:c r="N9" s="65" t="str">
        <x:v>Cột B là file thật trong ZIP; cột G là CRC32 để kiểm tra không đổi nội dung.</x:v>
      </x:c>
    </x:row>
    <x:row r="10" ht="27" customHeight="1">
      <x:c r="A10" s="61" t="str">
        <x:v>2 · Giữ nguyên</x:v>
      </x:c>
      <x:c r="B10" s="61" t="str">
        <x:v>2 · Giữ nguyên</x:v>
      </x:c>
      <x:c r="C10" s="61" t="str">
        <x:v>2 · Giữ nguyên</x:v>
      </x:c>
      <x:c r="D10" s="69" t="str">
        <x:v>Cột M–N chỉ nơi lưu bản nguồn 1:1. Vì vậy ‘không nạp runtime’ không có nghĩa là xóa file.</x:v>
      </x:c>
      <x:c r="E10" s="69" t="str">
        <x:v>Cột M–N chỉ nơi lưu bản nguồn 1:1. Vì vậy ‘không nạp runtime’ không có nghĩa là xóa file.</x:v>
      </x:c>
      <x:c r="F10" s="69" t="str">
        <x:v>Cột M–N chỉ nơi lưu bản nguồn 1:1. Vì vậy ‘không nạp runtime’ không có nghĩa là xóa file.</x:v>
      </x:c>
      <x:c r="G10" s="69" t="str">
        <x:v>Cột M–N chỉ nơi lưu bản nguồn 1:1. Vì vậy ‘không nạp runtime’ không có nghĩa là xóa file.</x:v>
      </x:c>
      <x:c r="H10" s="69" t="str">
        <x:v>Cột M–N chỉ nơi lưu bản nguồn 1:1. Vì vậy ‘không nạp runtime’ không có nghĩa là xóa file.</x:v>
      </x:c>
      <x:c r="I10" s="69" t="str">
        <x:v>Cột M–N chỉ nơi lưu bản nguồn 1:1. Vì vậy ‘không nạp runtime’ không có nghĩa là xóa file.</x:v>
      </x:c>
      <x:c r="J10" s="69" t="str">
        <x:v>Cột M–N chỉ nơi lưu bản nguồn 1:1. Vì vậy ‘không nạp runtime’ không có nghĩa là xóa file.</x:v>
      </x:c>
      <x:c r="K10" s="69" t="str">
        <x:v>Cột M–N chỉ nơi lưu bản nguồn 1:1. Vì vậy ‘không nạp runtime’ không có nghĩa là xóa file.</x:v>
      </x:c>
      <x:c r="L10" s="69" t="str">
        <x:v>Cột M–N chỉ nơi lưu bản nguồn 1:1. Vì vậy ‘không nạp runtime’ không có nghĩa là xóa file.</x:v>
      </x:c>
      <x:c r="M10" s="69" t="str">
        <x:v>Cột M–N chỉ nơi lưu bản nguồn 1:1. Vì vậy ‘không nạp runtime’ không có nghĩa là xóa file.</x:v>
      </x:c>
      <x:c r="N10" s="69" t="str">
        <x:v>Cột M–N chỉ nơi lưu bản nguồn 1:1. Vì vậy ‘không nạp runtime’ không có nghĩa là xóa file.</x:v>
      </x:c>
    </x:row>
    <x:row r="11" ht="27" customHeight="1">
      <x:c r="A11" s="61" t="str">
        <x:v>3 · Chạy trong Codex</x:v>
      </x:c>
      <x:c r="B11" s="61" t="str">
        <x:v>3 · Chạy trong Codex</x:v>
      </x:c>
      <x:c r="C11" s="61" t="str">
        <x:v>3 · Chạy trong Codex</x:v>
      </x:c>
      <x:c r="D11" s="65" t="str">
        <x:v>Cột O–S cho biết file đã thành Skill, AGENTS.md, agent TOML, config, reference hay chỉ được giữ làm nguồn.</x:v>
      </x:c>
      <x:c r="E11" s="65" t="str">
        <x:v>Cột O–S cho biết file đã thành Skill, AGENTS.md, agent TOML, config, reference hay chỉ được giữ làm nguồn.</x:v>
      </x:c>
      <x:c r="F11" s="65" t="str">
        <x:v>Cột O–S cho biết file đã thành Skill, AGENTS.md, agent TOML, config, reference hay chỉ được giữ làm nguồn.</x:v>
      </x:c>
      <x:c r="G11" s="65" t="str">
        <x:v>Cột O–S cho biết file đã thành Skill, AGENTS.md, agent TOML, config, reference hay chỉ được giữ làm nguồn.</x:v>
      </x:c>
      <x:c r="H11" s="65" t="str">
        <x:v>Cột O–S cho biết file đã thành Skill, AGENTS.md, agent TOML, config, reference hay chỉ được giữ làm nguồn.</x:v>
      </x:c>
      <x:c r="I11" s="65" t="str">
        <x:v>Cột O–S cho biết file đã thành Skill, AGENTS.md, agent TOML, config, reference hay chỉ được giữ làm nguồn.</x:v>
      </x:c>
      <x:c r="J11" s="65" t="str">
        <x:v>Cột O–S cho biết file đã thành Skill, AGENTS.md, agent TOML, config, reference hay chỉ được giữ làm nguồn.</x:v>
      </x:c>
      <x:c r="K11" s="65" t="str">
        <x:v>Cột O–S cho biết file đã thành Skill, AGENTS.md, agent TOML, config, reference hay chỉ được giữ làm nguồn.</x:v>
      </x:c>
      <x:c r="L11" s="65" t="str">
        <x:v>Cột O–S cho biết file đã thành Skill, AGENTS.md, agent TOML, config, reference hay chỉ được giữ làm nguồn.</x:v>
      </x:c>
      <x:c r="M11" s="65" t="str">
        <x:v>Cột O–S cho biết file đã thành Skill, AGENTS.md, agent TOML, config, reference hay chỉ được giữ làm nguồn.</x:v>
      </x:c>
      <x:c r="N11" s="65" t="str">
        <x:v>Cột O–S cho biết file đã thành Skill, AGENTS.md, agent TOML, config, reference hay chỉ được giữ làm nguồn.</x:v>
      </x:c>
    </x:row>
    <x:row r="12" ht="27" customHeight="1">
      <x:c r="A12" s="61" t="str">
        <x:v>4 · Đọc trạng thái</x:v>
      </x:c>
      <x:c r="B12" s="61" t="str">
        <x:v>4 · Đọc trạng thái</x:v>
      </x:c>
      <x:c r="C12" s="61" t="str">
        <x:v>4 · Đọc trạng thái</x:v>
      </x:c>
      <x:c r="D12" s="69" t="str">
        <x:v>Cột T–V cho biết giai đoạn, ưu tiên và kết quả hiện tại. PXPIPE vẫn được giữ nhưng bị tắt; LIVE phải xác minh lại.</x:v>
      </x:c>
      <x:c r="E12" s="69" t="str">
        <x:v>Cột T–V cho biết giai đoạn, ưu tiên và kết quả hiện tại. PXPIPE vẫn được giữ nhưng bị tắt; LIVE phải xác minh lại.</x:v>
      </x:c>
      <x:c r="F12" s="69" t="str">
        <x:v>Cột T–V cho biết giai đoạn, ưu tiên và kết quả hiện tại. PXPIPE vẫn được giữ nhưng bị tắt; LIVE phải xác minh lại.</x:v>
      </x:c>
      <x:c r="G12" s="69" t="str">
        <x:v>Cột T–V cho biết giai đoạn, ưu tiên và kết quả hiện tại. PXPIPE vẫn được giữ nhưng bị tắt; LIVE phải xác minh lại.</x:v>
      </x:c>
      <x:c r="H12" s="69" t="str">
        <x:v>Cột T–V cho biết giai đoạn, ưu tiên và kết quả hiện tại. PXPIPE vẫn được giữ nhưng bị tắt; LIVE phải xác minh lại.</x:v>
      </x:c>
      <x:c r="I12" s="69" t="str">
        <x:v>Cột T–V cho biết giai đoạn, ưu tiên và kết quả hiện tại. PXPIPE vẫn được giữ nhưng bị tắt; LIVE phải xác minh lại.</x:v>
      </x:c>
      <x:c r="J12" s="69" t="str">
        <x:v>Cột T–V cho biết giai đoạn, ưu tiên và kết quả hiện tại. PXPIPE vẫn được giữ nhưng bị tắt; LIVE phải xác minh lại.</x:v>
      </x:c>
      <x:c r="K12" s="69" t="str">
        <x:v>Cột T–V cho biết giai đoạn, ưu tiên và kết quả hiện tại. PXPIPE vẫn được giữ nhưng bị tắt; LIVE phải xác minh lại.</x:v>
      </x:c>
      <x:c r="L12" s="69" t="str">
        <x:v>Cột T–V cho biết giai đoạn, ưu tiên và kết quả hiện tại. PXPIPE vẫn được giữ nhưng bị tắt; LIVE phải xác minh lại.</x:v>
      </x:c>
      <x:c r="M12" s="69" t="str">
        <x:v>Cột T–V cho biết giai đoạn, ưu tiên và kết quả hiện tại. PXPIPE vẫn được giữ nhưng bị tắt; LIVE phải xác minh lại.</x:v>
      </x:c>
      <x:c r="N12" s="69" t="str">
        <x:v>Cột T–V cho biết giai đoạn, ưu tiên và kết quả hiện tại. PXPIPE vẫn được giữ nhưng bị tắt; LIVE phải xác minh lại.</x:v>
      </x:c>
    </x:row>
    <x:row r="14">
      <x:c r="A14" s="59" t="str">
        <x:v>PHÂN BỐ THEO KHU VỰC NGUỒN</x:v>
      </x:c>
      <x:c r="B14" s="59" t="str">
        <x:v>PHÂN BỐ THEO KHU VỰC NGUỒN</x:v>
      </x:c>
      <x:c r="L14" s="59" t="str">
        <x:v>NHÓM HÀNH ĐỘNG (CÓ THỂ CHỒNG LẤP)</x:v>
      </x:c>
      <x:c r="M14" s="59" t="str">
        <x:v>NHÓM HÀNH ĐỘNG (CÓ THỂ CHỒNG LẤP)</x:v>
      </x:c>
      <x:c r="N14" s="59" t="str">
        <x:v>NHÓM HÀNH ĐỘNG (CÓ THỂ CHỒNG LẤP)</x:v>
      </x:c>
    </x:row>
    <x:row r="15" ht="24" customHeight="1">
      <x:c r="A15" s="72" t="str">
        <x:v>01 · Tài liệu gốc</x:v>
      </x:c>
      <x:c r="B15" s="74" t="n">
        <x:f>COUNTIF('Ban_do_152_file'!$D$5:$D$156,"01 · Tài liệu gốc")</x:f>
        <x:v>4</x:v>
      </x:c>
      <x:c r="L15" s="18" t="str">
        <x:v>Mã</x:v>
      </x:c>
      <x:c r="M15" s="18" t="str">
        <x:v>Số file</x:v>
      </x:c>
      <x:c r="N15" s="18" t="str">
        <x:v>Ý nghĩa</x:v>
      </x:c>
    </x:row>
    <x:row r="16" ht="25" customHeight="1">
      <x:c r="A16" s="72" t="str">
        <x:v>02 · Tài liệu hướng dẫn</x:v>
      </x:c>
      <x:c r="B16" s="74" t="n">
        <x:f>COUNTIF('Ban_do_152_file'!$D$5:$D$156,"02 · Tài liệu hướng dẫn")</x:f>
        <x:v>6</x:v>
      </x:c>
      <x:c r="L16" s="72" t="str">
        <x:v>DEDUP_RUNTIME</x:v>
      </x:c>
      <x:c r="M16" s="75" t="n">
        <x:f>COUNTIF('Ban_do_152_file'!$Q$5:$Q$156,"KEEP_SOURCE + DEDUP_RUNTIME")+COUNTIF('Ban_do_152_file'!$Q$5:$Q$156,"KEEP_SOURCE + DEDUP_RUNTIME + VERIFY_LIVE")</x:f>
        <x:v>40</x:v>
      </x:c>
      <x:c r="N16" s="72" t="str">
        <x:v>Không nạp trùng</x:v>
      </x:c>
    </x:row>
    <x:row r="17" ht="25" customHeight="1">
      <x:c r="A17" s="72" t="str">
        <x:v>03 · for-chat: lõi/mô-đun</x:v>
      </x:c>
      <x:c r="B17" s="74" t="n">
        <x:f>COUNTIF('Ban_do_152_file'!$D$5:$D$156,"03 · for-chat: lõi/mô-đun")</x:f>
        <x:v>31</x:v>
      </x:c>
      <x:c r="L17" s="72" t="str">
        <x:v>REWRITE</x:v>
      </x:c>
      <x:c r="M17" s="75" t="n">
        <x:f>COUNTIF('Ban_do_152_file'!$Q$5:$Q$156,"KEEP_SOURCE + REWRITE_NATIVE")+COUNTIF('Ban_do_152_file'!$Q$5:$Q$156,"KEEP_SOURCE + REWRITE_NATIVE + PARITY_TEST")+COUNTIF('Ban_do_152_file'!$Q$5:$Q$156,"KEEP_SOURCE + REWRITE_NATIVE + SECURITY_REVIEW")+COUNTIF('Ban_do_152_file'!$Q$5:$Q$156,"KEEP_SOURCE + SPLIT_AND_REWRITE")+COUNTIF('Ban_do_152_file'!$Q$5:$Q$156,"KEEP_SOURCE + VERIFY_LIVE + REWRITE_NATIVE")</x:f>
        <x:v>27</x:v>
      </x:c>
      <x:c r="N17" s="72" t="str">
        <x:v>Viết lại native</x:v>
      </x:c>
    </x:row>
    <x:row r="18" ht="25" customHeight="1">
      <x:c r="A18" s="72" t="str">
        <x:v>04 · for-chat: LIVE/vendor</x:v>
      </x:c>
      <x:c r="B18" s="74" t="n">
        <x:f>COUNTIF('Ban_do_152_file'!$D$5:$D$156,"04 · for-chat: LIVE/vendor")</x:f>
        <x:v>9</x:v>
      </x:c>
      <x:c r="L18" s="72" t="str">
        <x:v>TRANSLATE</x:v>
      </x:c>
      <x:c r="M18" s="75" t="n">
        <x:f>COUNTIF('Ban_do_152_file'!$Q$5:$Q$156,"KEEP_SOURCE + TRANSLATE_SKILL")+COUNTIF('Ban_do_152_file'!$Q$5:$Q$156,"KEEP_SOURCE + TRANSLATE_SEMANTICS")</x:f>
        <x:v>33</x:v>
      </x:c>
      <x:c r="N18" s="72" t="str">
        <x:v>Chuyển nghĩa</x:v>
      </x:c>
    </x:row>
    <x:row r="19" ht="25" customHeight="1">
      <x:c r="A19" s="72" t="str">
        <x:v>05 · for-chat: tài liệu</x:v>
      </x:c>
      <x:c r="B19" s="74" t="n">
        <x:f>COUNTIF('Ban_do_152_file'!$D$5:$D$156,"05 · for-chat: tài liệu")</x:f>
        <x:v>8</x:v>
      </x:c>
      <x:c r="L19" s="72" t="str">
        <x:v>CONVERT_TO_SKILL</x:v>
      </x:c>
      <x:c r="M19" s="75" t="n">
        <x:f>COUNTIF('Ban_do_152_file'!$Q$5:$Q$156,"KEEP_SOURCE + CONVERT_TO_SKILL")+COUNTIF('Ban_do_152_file'!$Q$5:$Q$156,"KEEP_SOURCE + CONVERT_TO_SKILL + SECURITY_REVIEW")+COUNTIF('Ban_do_152_file'!$Q$5:$Q$156,"KEEP_SOURCE + CONVERT_TO_SKILL + OPTIONAL_GATE")</x:f>
        <x:v>13</x:v>
      </x:c>
      <x:c r="N19" s="72" t="str">
        <x:v>Đổi command → skill</x:v>
      </x:c>
    </x:row>
    <x:row r="20" ht="25" customHeight="1">
      <x:c r="A20" s="72" t="str">
        <x:v>06 · Plugin: nền tảng</x:v>
      </x:c>
      <x:c r="B20" s="74" t="n">
        <x:f>COUNTIF('Ban_do_152_file'!$D$5:$D$156,"06 · Plugin: nền tảng")</x:f>
        <x:v>3</x:v>
      </x:c>
      <x:c r="L20" s="72" t="str">
        <x:v>VERIFY_LIVE</x:v>
      </x:c>
      <x:c r="M20" s="75" t="n">
        <x:f>COUNTIF('Ban_do_152_file'!$Q$5:$Q$156,"KEEP_SOURCE + DEDUP_RUNTIME + VERIFY_LIVE")+COUNTIF('Ban_do_152_file'!$Q$5:$Q$156,"KEEP_SOURCE + VERIFY_LIVE + REWRITE_NATIVE")</x:f>
        <x:v>19</x:v>
      </x:c>
      <x:c r="N20" s="72" t="str">
        <x:v>Xác minh dữ liệu mới</x:v>
      </x:c>
    </x:row>
    <x:row r="21" ht="25" customHeight="1">
      <x:c r="A21" s="72" t="str">
        <x:v>07 · Plugin: 8 agent</x:v>
      </x:c>
      <x:c r="B21" s="74" t="n">
        <x:f>COUNTIF('Ban_do_152_file'!$D$5:$D$156,"07 · Plugin: 8 agent")</x:f>
        <x:v>8</x:v>
      </x:c>
      <x:c r="L21" s="72" t="str">
        <x:v>ADAPT_DOCS</x:v>
      </x:c>
      <x:c r="M21" s="75" t="n">
        <x:f>COUNTIF('Ban_do_152_file'!$Q$5:$Q$156,"KEEP_SOURCE + ADAPT_DOCS")+COUNTIF('Ban_do_152_file'!$Q$5:$Q$156,"KEEP_SOURCE + ADAPT_DOCS + RETEST")</x:f>
        <x:v>20</x:v>
      </x:c>
      <x:c r="N21" s="72" t="str">
        <x:v>Điều chỉnh tài liệu</x:v>
      </x:c>
    </x:row>
    <x:row r="22" ht="25" customHeight="1">
      <x:c r="A22" s="72" t="str">
        <x:v>08 · Plugin: 13 command</x:v>
      </x:c>
      <x:c r="B22" s="74" t="n">
        <x:f>COUNTIF('Ban_do_152_file'!$D$5:$D$156,"08 · Plugin: 13 command")</x:f>
        <x:v>13</x:v>
      </x:c>
      <x:c r="L22" s="72" t="str">
        <x:v>PORT_SCRIPT</x:v>
      </x:c>
      <x:c r="M22" s="75" t="n">
        <x:f>COUNTIF('Ban_do_152_file'!$Q$5:$Q$156,"KEEP_SOURCE + PORT_SCRIPT + OPTIONAL_GATE")+COUNTIF('Ban_do_152_file'!$Q$5:$Q$156,"KEEP_SOURCE + PORT_SCRIPT + PARITY_TEST")</x:f>
        <x:v>8</x:v>
      </x:c>
      <x:c r="N22" s="72" t="str">
        <x:v>Port script</x:v>
      </x:c>
    </x:row>
    <x:row r="23" ht="25" customHeight="1">
      <x:c r="A23" s="72" t="str">
        <x:v>09 · Plugin: lõi P2P</x:v>
      </x:c>
      <x:c r="B23" s="74" t="n">
        <x:f>COUNTIF('Ban_do_152_file'!$D$5:$D$156,"09 · Plugin: lõi P2P")</x:f>
        <x:v>41</x:v>
      </x:c>
      <x:c r="L23" s="72" t="str">
        <x:v>OPTIONAL_GATE</x:v>
      </x:c>
      <x:c r="M23" s="75" t="n">
        <x:f>COUNTIF('Ban_do_152_file'!$Q$5:$Q$156,"KEEP_SOURCE + CONVERT_TO_SKILL + OPTIONAL_GATE")+COUNTIF('Ban_do_152_file'!$Q$5:$Q$156,"KEEP_SOURCE + PORT_SCRIPT + OPTIONAL_GATE")+COUNTIF('Ban_do_152_file'!$Q$5:$Q$156,"KEEP_SOURCE + REBUILD_DEPS + OPTIONAL_GATE")</x:f>
        <x:v>9</x:v>
      </x:c>
      <x:c r="N23" s="72" t="str">
        <x:v>Chỉ bật tùy chọn</x:v>
      </x:c>
    </x:row>
    <x:row r="24" ht="24" customHeight="1">
      <x:c r="A24" s="72" t="str">
        <x:v>10 · Plugin: skill phụ</x:v>
      </x:c>
      <x:c r="B24" s="74" t="n">
        <x:f>COUNTIF('Ban_do_152_file'!$D$5:$D$156,"10 · Plugin: skill phụ")</x:f>
        <x:v>17</x:v>
      </x:c>
    </x:row>
    <x:row r="25" ht="24" customHeight="1">
      <x:c r="A25" s="72" t="str">
        <x:v>11 · Plugin: PXPIPE</x:v>
      </x:c>
      <x:c r="B25" s="74" t="n">
        <x:f>COUNTIF('Ban_do_152_file'!$D$5:$D$156,"11 · Plugin: PXPIPE")</x:f>
        <x:v>9</x:v>
      </x:c>
    </x:row>
    <x:row r="26" ht="24" customHeight="1">
      <x:c r="A26" s="72" t="str">
        <x:v>12 · Plugin: đóng gói</x:v>
      </x:c>
      <x:c r="B26" s="74" t="n">
        <x:f>COUNTIF('Ban_do_152_file'!$D$5:$D$156,"12 · Plugin: đóng gói")</x:f>
        <x:v>3</x:v>
      </x:c>
    </x:row>
    <x:row r="31">
      <x:c r="A31" s="59" t="str">
        <x:v>6 QUYẾT ĐỊNH KIẾN TRÚC KHÔNG ĐƯỢC PHÁ VỠ</x:v>
      </x:c>
      <x:c r="B31" s="59" t="str">
        <x:v>6 QUYẾT ĐỊNH KIẾN TRÚC KHÔNG ĐƯỢC PHÁ VỠ</x:v>
      </x:c>
      <x:c r="C31" s="59" t="str">
        <x:v>6 QUYẾT ĐỊNH KIẾN TRÚC KHÔNG ĐƯỢC PHÁ VỠ</x:v>
      </x:c>
      <x:c r="D31" s="59" t="str">
        <x:v>6 QUYẾT ĐỊNH KIẾN TRÚC KHÔNG ĐƯỢC PHÁ VỠ</x:v>
      </x:c>
      <x:c r="E31" s="59" t="str">
        <x:v>6 QUYẾT ĐỊNH KIẾN TRÚC KHÔNG ĐƯỢC PHÁ VỠ</x:v>
      </x:c>
      <x:c r="F31" s="59" t="str">
        <x:v>6 QUYẾT ĐỊNH KIẾN TRÚC KHÔNG ĐƯỢC PHÁ VỠ</x:v>
      </x:c>
      <x:c r="G31" s="59" t="str">
        <x:v>6 QUYẾT ĐỊNH KIẾN TRÚC KHÔNG ĐƯỢC PHÁ VỠ</x:v>
      </x:c>
      <x:c r="H31" s="59" t="str">
        <x:v>6 QUYẾT ĐỊNH KIẾN TRÚC KHÔNG ĐƯỢC PHÁ VỠ</x:v>
      </x:c>
      <x:c r="I31" s="59" t="str">
        <x:v>6 QUYẾT ĐỊNH KIẾN TRÚC KHÔNG ĐƯỢC PHÁ VỠ</x:v>
      </x:c>
      <x:c r="J31" s="59" t="str">
        <x:v>6 QUYẾT ĐỊNH KIẾN TRÚC KHÔNG ĐƯỢC PHÁ VỠ</x:v>
      </x:c>
      <x:c r="K31" s="59" t="str">
        <x:v>6 QUYẾT ĐỊNH KIẾN TRÚC KHÔNG ĐƯỢC PHÁ VỠ</x:v>
      </x:c>
      <x:c r="L31" s="59" t="str">
        <x:v>6 QUYẾT ĐỊNH KIẾN TRÚC KHÔNG ĐƯỢC PHÁ VỠ</x:v>
      </x:c>
      <x:c r="M31" s="59" t="str">
        <x:v>6 QUYẾT ĐỊNH KIẾN TRÚC KHÔNG ĐƯỢC PHÁ VỠ</x:v>
      </x:c>
      <x:c r="N31" s="59" t="str">
        <x:v>6 QUYẾT ĐỊNH KIẾN TRÚC KHÔNG ĐƯỢC PHÁ VỠ</x:v>
      </x:c>
    </x:row>
    <x:row r="32" ht="31" customHeight="1">
      <x:c r="A32" s="77" t="str">
        <x:v>Bảo tồn 152/152</x:v>
      </x:c>
      <x:c r="B32" s="77" t="str">
        <x:v>Bảo tồn 152/152</x:v>
      </x:c>
      <x:c r="C32" s="77" t="str">
        <x:v>Bảo tồn 152/152</x:v>
      </x:c>
      <x:c r="D32" s="77" t="str">
        <x:v>Bảo tồn 152/152</x:v>
      </x:c>
      <x:c r="E32" s="65" t="str">
        <x:v>Mọi file được giữ nguyên trong source snapshot cùng đường dẫn và CRC; bản chuyển đổi không được âm thầm xóa hoặc sửa nguồn.</x:v>
      </x:c>
      <x:c r="F32" s="65" t="str">
        <x:v>Mọi file được giữ nguyên trong source snapshot cùng đường dẫn và CRC; bản chuyển đổi không được âm thầm xóa hoặc sửa nguồn.</x:v>
      </x:c>
      <x:c r="G32" s="65" t="str">
        <x:v>Mọi file được giữ nguyên trong source snapshot cùng đường dẫn và CRC; bản chuyển đổi không được âm thầm xóa hoặc sửa nguồn.</x:v>
      </x:c>
      <x:c r="H32" s="65" t="str">
        <x:v>Mọi file được giữ nguyên trong source snapshot cùng đường dẫn và CRC; bản chuyển đổi không được âm thầm xóa hoặc sửa nguồn.</x:v>
      </x:c>
      <x:c r="I32" s="65" t="str">
        <x:v>Mọi file được giữ nguyên trong source snapshot cùng đường dẫn và CRC; bản chuyển đổi không được âm thầm xóa hoặc sửa nguồn.</x:v>
      </x:c>
      <x:c r="J32" s="65" t="str">
        <x:v>Mọi file được giữ nguyên trong source snapshot cùng đường dẫn và CRC; bản chuyển đổi không được âm thầm xóa hoặc sửa nguồn.</x:v>
      </x:c>
      <x:c r="K32" s="65" t="str">
        <x:v>Mọi file được giữ nguyên trong source snapshot cùng đường dẫn và CRC; bản chuyển đổi không được âm thầm xóa hoặc sửa nguồn.</x:v>
      </x:c>
      <x:c r="L32" s="65" t="str">
        <x:v>Mọi file được giữ nguyên trong source snapshot cùng đường dẫn và CRC; bản chuyển đổi không được âm thầm xóa hoặc sửa nguồn.</x:v>
      </x:c>
      <x:c r="M32" s="65" t="str">
        <x:v>Mọi file được giữ nguyên trong source snapshot cùng đường dẫn và CRC; bản chuyển đổi không được âm thầm xóa hoặc sửa nguồn.</x:v>
      </x:c>
      <x:c r="N32" s="65" t="str">
        <x:v>Mọi file được giữ nguyên trong source snapshot cùng đường dẫn và CRC; bản chuyển đổi không được âm thầm xóa hoặc sửa nguồn.</x:v>
      </x:c>
    </x:row>
    <x:row r="33" ht="31" customHeight="1">
      <x:c r="A33" s="79" t="str">
        <x:v>Một canonical runtime</x:v>
      </x:c>
      <x:c r="B33" s="79" t="str">
        <x:v>Một canonical runtime</x:v>
      </x:c>
      <x:c r="C33" s="79" t="str">
        <x:v>Một canonical runtime</x:v>
      </x:c>
      <x:c r="D33" s="79" t="str">
        <x:v>Một canonical runtime</x:v>
      </x:c>
      <x:c r="E33" s="69" t="str">
        <x:v>Các bản for-chat và plugin có thể cùng ý nghĩa; Codex chỉ kích hoạt một bản để tránh nhân đôi token và xung đột chỉ dẫn.</x:v>
      </x:c>
      <x:c r="F33" s="69" t="str">
        <x:v>Các bản for-chat và plugin có thể cùng ý nghĩa; Codex chỉ kích hoạt một bản để tránh nhân đôi token và xung đột chỉ dẫn.</x:v>
      </x:c>
      <x:c r="G33" s="69" t="str">
        <x:v>Các bản for-chat và plugin có thể cùng ý nghĩa; Codex chỉ kích hoạt một bản để tránh nhân đôi token và xung đột chỉ dẫn.</x:v>
      </x:c>
      <x:c r="H33" s="69" t="str">
        <x:v>Các bản for-chat và plugin có thể cùng ý nghĩa; Codex chỉ kích hoạt một bản để tránh nhân đôi token và xung đột chỉ dẫn.</x:v>
      </x:c>
      <x:c r="I33" s="69" t="str">
        <x:v>Các bản for-chat và plugin có thể cùng ý nghĩa; Codex chỉ kích hoạt một bản để tránh nhân đôi token và xung đột chỉ dẫn.</x:v>
      </x:c>
      <x:c r="J33" s="69" t="str">
        <x:v>Các bản for-chat và plugin có thể cùng ý nghĩa; Codex chỉ kích hoạt một bản để tránh nhân đôi token và xung đột chỉ dẫn.</x:v>
      </x:c>
      <x:c r="K33" s="69" t="str">
        <x:v>Các bản for-chat và plugin có thể cùng ý nghĩa; Codex chỉ kích hoạt một bản để tránh nhân đôi token và xung đột chỉ dẫn.</x:v>
      </x:c>
      <x:c r="L33" s="69" t="str">
        <x:v>Các bản for-chat và plugin có thể cùng ý nghĩa; Codex chỉ kích hoạt một bản để tránh nhân đôi token và xung đột chỉ dẫn.</x:v>
      </x:c>
      <x:c r="M33" s="69" t="str">
        <x:v>Các bản for-chat và plugin có thể cùng ý nghĩa; Codex chỉ kích hoạt một bản để tránh nhân đôi token và xung đột chỉ dẫn.</x:v>
      </x:c>
      <x:c r="N33" s="69" t="str">
        <x:v>Các bản for-chat và plugin có thể cùng ý nghĩa; Codex chỉ kích hoạt một bản để tránh nhân đôi token và xung đột chỉ dẫn.</x:v>
      </x:c>
    </x:row>
    <x:row r="34" ht="31" customHeight="1">
      <x:c r="A34" s="77" t="str">
        <x:v>Giữ nghĩa, đổi cơ chế</x:v>
      </x:c>
      <x:c r="B34" s="77" t="str">
        <x:v>Giữ nghĩa, đổi cơ chế</x:v>
      </x:c>
      <x:c r="C34" s="77" t="str">
        <x:v>Giữ nghĩa, đổi cơ chế</x:v>
      </x:c>
      <x:c r="D34" s="77" t="str">
        <x:v>Giữ nghĩa, đổi cơ chế</x:v>
      </x:c>
      <x:c r="E34" s="65" t="str">
        <x:v>Slash command, CLAUDE.md, settings.json và agent Markdown phải đổi sang Skill, AGENTS.md, config.toml và agent TOML của Codex.</x:v>
      </x:c>
      <x:c r="F34" s="65" t="str">
        <x:v>Slash command, CLAUDE.md, settings.json và agent Markdown phải đổi sang Skill, AGENTS.md, config.toml và agent TOML của Codex.</x:v>
      </x:c>
      <x:c r="G34" s="65" t="str">
        <x:v>Slash command, CLAUDE.md, settings.json và agent Markdown phải đổi sang Skill, AGENTS.md, config.toml và agent TOML của Codex.</x:v>
      </x:c>
      <x:c r="H34" s="65" t="str">
        <x:v>Slash command, CLAUDE.md, settings.json và agent Markdown phải đổi sang Skill, AGENTS.md, config.toml và agent TOML của Codex.</x:v>
      </x:c>
      <x:c r="I34" s="65" t="str">
        <x:v>Slash command, CLAUDE.md, settings.json và agent Markdown phải đổi sang Skill, AGENTS.md, config.toml và agent TOML của Codex.</x:v>
      </x:c>
      <x:c r="J34" s="65" t="str">
        <x:v>Slash command, CLAUDE.md, settings.json và agent Markdown phải đổi sang Skill, AGENTS.md, config.toml và agent TOML của Codex.</x:v>
      </x:c>
      <x:c r="K34" s="65" t="str">
        <x:v>Slash command, CLAUDE.md, settings.json và agent Markdown phải đổi sang Skill, AGENTS.md, config.toml và agent TOML của Codex.</x:v>
      </x:c>
      <x:c r="L34" s="65" t="str">
        <x:v>Slash command, CLAUDE.md, settings.json và agent Markdown phải đổi sang Skill, AGENTS.md, config.toml và agent TOML của Codex.</x:v>
      </x:c>
      <x:c r="M34" s="65" t="str">
        <x:v>Slash command, CLAUDE.md, settings.json và agent Markdown phải đổi sang Skill, AGENTS.md, config.toml và agent TOML của Codex.</x:v>
      </x:c>
      <x:c r="N34" s="65" t="str">
        <x:v>Slash command, CLAUDE.md, settings.json và agent Markdown phải đổi sang Skill, AGENTS.md, config.toml và agent TOML của Codex.</x:v>
      </x:c>
    </x:row>
    <x:row r="35" ht="31" customHeight="1">
      <x:c r="A35" s="79" t="str">
        <x:v>LIVE không phải chân lý</x:v>
      </x:c>
      <x:c r="B35" s="79" t="str">
        <x:v>LIVE không phải chân lý</x:v>
      </x:c>
      <x:c r="C35" s="79" t="str">
        <x:v>LIVE không phải chân lý</x:v>
      </x:c>
      <x:c r="D35" s="79" t="str">
        <x:v>LIVE không phải chân lý</x:v>
      </x:c>
      <x:c r="E35" s="69" t="str">
        <x:v>Thông số model/vendor/giá được giữ như snapshot lịch sử; khi dùng phải kiểm chứng nguồn chính thức và ghi ngày.</x:v>
      </x:c>
      <x:c r="F35" s="69" t="str">
        <x:v>Thông số model/vendor/giá được giữ như snapshot lịch sử; khi dùng phải kiểm chứng nguồn chính thức và ghi ngày.</x:v>
      </x:c>
      <x:c r="G35" s="69" t="str">
        <x:v>Thông số model/vendor/giá được giữ như snapshot lịch sử; khi dùng phải kiểm chứng nguồn chính thức và ghi ngày.</x:v>
      </x:c>
      <x:c r="H35" s="69" t="str">
        <x:v>Thông số model/vendor/giá được giữ như snapshot lịch sử; khi dùng phải kiểm chứng nguồn chính thức và ghi ngày.</x:v>
      </x:c>
      <x:c r="I35" s="69" t="str">
        <x:v>Thông số model/vendor/giá được giữ như snapshot lịch sử; khi dùng phải kiểm chứng nguồn chính thức và ghi ngày.</x:v>
      </x:c>
      <x:c r="J35" s="69" t="str">
        <x:v>Thông số model/vendor/giá được giữ như snapshot lịch sử; khi dùng phải kiểm chứng nguồn chính thức và ghi ngày.</x:v>
      </x:c>
      <x:c r="K35" s="69" t="str">
        <x:v>Thông số model/vendor/giá được giữ như snapshot lịch sử; khi dùng phải kiểm chứng nguồn chính thức và ghi ngày.</x:v>
      </x:c>
      <x:c r="L35" s="69" t="str">
        <x:v>Thông số model/vendor/giá được giữ như snapshot lịch sử; khi dùng phải kiểm chứng nguồn chính thức và ghi ngày.</x:v>
      </x:c>
      <x:c r="M35" s="69" t="str">
        <x:v>Thông số model/vendor/giá được giữ như snapshot lịch sử; khi dùng phải kiểm chứng nguồn chính thức và ghi ngày.</x:v>
      </x:c>
      <x:c r="N35" s="69" t="str">
        <x:v>Thông số model/vendor/giá được giữ như snapshot lịch sử; khi dùng phải kiểm chứng nguồn chính thức và ghi ngày.</x:v>
      </x:c>
    </x:row>
    <x:row r="36" ht="31" customHeight="1">
      <x:c r="A36" s="77" t="str">
        <x:v>Tác động ngoài là opt-in</x:v>
      </x:c>
      <x:c r="B36" s="77" t="str">
        <x:v>Tác động ngoài là opt-in</x:v>
      </x:c>
      <x:c r="C36" s="77" t="str">
        <x:v>Tác động ngoài là opt-in</x:v>
      </x:c>
      <x:c r="D36" s="77" t="str">
        <x:v>Tác động ngoài là opt-in</x:v>
      </x:c>
      <x:c r="E36" s="65" t="str">
        <x:v>Tải mạng, hook, script và PXPIPE không bật mặc định; phải qua kiểm tra bảo mật, lợi ích và phương án quay lui.</x:v>
      </x:c>
      <x:c r="F36" s="65" t="str">
        <x:v>Tải mạng, hook, script và PXPIPE không bật mặc định; phải qua kiểm tra bảo mật, lợi ích và phương án quay lui.</x:v>
      </x:c>
      <x:c r="G36" s="65" t="str">
        <x:v>Tải mạng, hook, script và PXPIPE không bật mặc định; phải qua kiểm tra bảo mật, lợi ích và phương án quay lui.</x:v>
      </x:c>
      <x:c r="H36" s="65" t="str">
        <x:v>Tải mạng, hook, script và PXPIPE không bật mặc định; phải qua kiểm tra bảo mật, lợi ích và phương án quay lui.</x:v>
      </x:c>
      <x:c r="I36" s="65" t="str">
        <x:v>Tải mạng, hook, script và PXPIPE không bật mặc định; phải qua kiểm tra bảo mật, lợi ích và phương án quay lui.</x:v>
      </x:c>
      <x:c r="J36" s="65" t="str">
        <x:v>Tải mạng, hook, script và PXPIPE không bật mặc định; phải qua kiểm tra bảo mật, lợi ích và phương án quay lui.</x:v>
      </x:c>
      <x:c r="K36" s="65" t="str">
        <x:v>Tải mạng, hook, script và PXPIPE không bật mặc định; phải qua kiểm tra bảo mật, lợi ích và phương án quay lui.</x:v>
      </x:c>
      <x:c r="L36" s="65" t="str">
        <x:v>Tải mạng, hook, script và PXPIPE không bật mặc định; phải qua kiểm tra bảo mật, lợi ích và phương án quay lui.</x:v>
      </x:c>
      <x:c r="M36" s="65" t="str">
        <x:v>Tải mạng, hook, script và PXPIPE không bật mặc định; phải qua kiểm tra bảo mật, lợi ích và phương án quay lui.</x:v>
      </x:c>
      <x:c r="N36" s="65" t="str">
        <x:v>Tải mạng, hook, script và PXPIPE không bật mặc định; phải qua kiểm tra bảo mật, lợi ích và phương án quay lui.</x:v>
      </x:c>
    </x:row>
    <x:row r="37" ht="42" customHeight="1">
      <x:c r="A37" s="481" t="str">
        <x:v>Phê duyệt sau technical PASS</x:v>
      </x:c>
      <x:c r="B37" s="481"/>
      <x:c r="C37" s="481"/>
      <x:c r="D37" s="481"/>
      <x:c r="E37" s="423" t="str">
        <x:v>Approval khóa action/scope/subject/report SHA-256; AI không tự duyệt; thay đổi một byte phải chạy lại gate và xin duyệt mới.</x:v>
      </x:c>
      <x:c r="F37" s="423"/>
      <x:c r="G37" s="423"/>
      <x:c r="H37" s="423"/>
      <x:c r="I37" s="423"/>
      <x:c r="J37" s="423"/>
      <x:c r="K37" s="423"/>
      <x:c r="L37" s="423"/>
      <x:c r="M37" s="423"/>
      <x:c r="N37" s="423"/>
    </x:row>
    <x:row r="39">
      <x:c r="A39" s="59" t="str">
        <x:v>FILE THEO GIAI ĐOẠN</x:v>
      </x:c>
      <x:c r="B39" s="59" t="str">
        <x:v>FILE THEO GIAI ĐOẠN</x:v>
      </x:c>
      <x:c r="C39" s="59" t="str">
        <x:v>FILE THEO GIAI ĐOẠN</x:v>
      </x:c>
      <x:c r="E39" s="59" t="str">
        <x:v>ĐIỂM BẮT ĐẦU ĐỀ XUẤT</x:v>
      </x:c>
      <x:c r="F39" s="59" t="str">
        <x:v>ĐIỂM BẮT ĐẦU ĐỀ XUẤT</x:v>
      </x:c>
      <x:c r="G39" s="59" t="str">
        <x:v>ĐIỂM BẮT ĐẦU ĐỀ XUẤT</x:v>
      </x:c>
      <x:c r="H39" s="59" t="str">
        <x:v>ĐIỂM BẮT ĐẦU ĐỀ XUẤT</x:v>
      </x:c>
      <x:c r="I39" s="59" t="str">
        <x:v>ĐIỂM BẮT ĐẦU ĐỀ XUẤT</x:v>
      </x:c>
      <x:c r="J39" s="59" t="str">
        <x:v>ĐIỂM BẮT ĐẦU ĐỀ XUẤT</x:v>
      </x:c>
      <x:c r="K39" s="59" t="str">
        <x:v>ĐIỂM BẮT ĐẦU ĐỀ XUẤT</x:v>
      </x:c>
      <x:c r="L39" s="59" t="str">
        <x:v>ĐIỂM BẮT ĐẦU ĐỀ XUẤT</x:v>
      </x:c>
      <x:c r="M39" s="59" t="str">
        <x:v>ĐIỂM BẮT ĐẦU ĐỀ XUẤT</x:v>
      </x:c>
      <x:c r="N39" s="59" t="str">
        <x:v>ĐIỂM BẮT ĐẦU ĐỀ XUẤT</x:v>
      </x:c>
    </x:row>
    <x:row r="40">
      <x:c r="A40" s="18" t="str">
        <x:v>Giai đoạn</x:v>
      </x:c>
      <x:c r="B40" s="18" t="str">
        <x:v>Số file</x:v>
      </x:c>
      <x:c r="E40" s="84" t="str">
        <x:v>Gói Codex Edition codex.4 giữ nguồn 152/152, có 22 Skill, 8 custom-agent TOML và chuỗi gate bắt buộc. Project eval/RAG phải dùng dữ liệu thật; QUORUM phải có tám thread/ID thật trên host.</x:v>
      </x:c>
      <x:c r="F40" s="84" t="str">
        <x:v>Gói Codex Edition codex.4 giữ nguồn 152/152, có 22 Skill, 8 custom-agent TOML và chuỗi gate bắt buộc. Project eval/RAG phải dùng dữ liệu thật; QUORUM phải có tám thread/ID thật trên host.</x:v>
      </x:c>
      <x:c r="G40" s="84" t="str">
        <x:v>Gói Codex Edition codex.4 giữ nguồn 152/152, có 22 Skill, 8 custom-agent TOML và chuỗi gate bắt buộc. Project eval/RAG phải dùng dữ liệu thật; QUORUM phải có tám thread/ID thật trên host.</x:v>
      </x:c>
      <x:c r="H40" s="84" t="str">
        <x:v>Gói Codex Edition codex.4 giữ nguồn 152/152, có 22 Skill, 8 custom-agent TOML và chuỗi gate bắt buộc. Project eval/RAG phải dùng dữ liệu thật; QUORUM phải có tám thread/ID thật trên host.</x:v>
      </x:c>
      <x:c r="I40" s="84" t="str">
        <x:v>Gói Codex Edition codex.4 giữ nguồn 152/152, có 22 Skill, 8 custom-agent TOML và chuỗi gate bắt buộc. Project eval/RAG phải dùng dữ liệu thật; QUORUM phải có tám thread/ID thật trên host.</x:v>
      </x:c>
      <x:c r="J40" s="84" t="str">
        <x:v>Gói Codex Edition codex.4 giữ nguồn 152/152, có 22 Skill, 8 custom-agent TOML và chuỗi gate bắt buộc. Project eval/RAG phải dùng dữ liệu thật; QUORUM phải có tám thread/ID thật trên host.</x:v>
      </x:c>
      <x:c r="K40" s="84" t="str">
        <x:v>Gói Codex Edition codex.4 giữ nguồn 152/152, có 22 Skill, 8 custom-agent TOML và chuỗi gate bắt buộc. Project eval/RAG phải dùng dữ liệu thật; QUORUM phải có tám thread/ID thật trên host.</x:v>
      </x:c>
      <x:c r="L40" s="84" t="str">
        <x:v>Gói Codex Edition codex.4 giữ nguồn 152/152, có 22 Skill, 8 custom-agent TOML và chuỗi gate bắt buộc. Project eval/RAG phải dùng dữ liệu thật; QUORUM phải có tám thread/ID thật trên host.</x:v>
      </x:c>
      <x:c r="M40" s="84" t="str">
        <x:v>Gói Codex Edition codex.4 giữ nguồn 152/152, có 22 Skill, 8 custom-agent TOML và chuỗi gate bắt buộc. Project eval/RAG phải dùng dữ liệu thật; QUORUM phải có tám thread/ID thật trên host.</x:v>
      </x:c>
      <x:c r="N40" s="84" t="str">
        <x:v>Gói Codex Edition codex.4 giữ nguồn 152/152, có 22 Skill, 8 custom-agent TOML và chuỗi gate bắt buộc. Project eval/RAG phải dùng dữ liệu thật; QUORUM phải có tám thread/ID thật trên host.</x:v>
      </x:c>
    </x:row>
    <x:row r="41">
      <x:c r="A41" s="71" t="str">
        <x:v>0 · Bảo tồn &amp; đối chiếu</x:v>
      </x:c>
      <x:c r="B41" s="80" t="n">
        <x:f>COUNTIF('Ban_do_152_file'!$T$5:$T$156,"0 · Bảo tồn &amp; đối chiếu")</x:f>
        <x:v>48</x:v>
      </x:c>
      <x:c r="E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F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G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H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I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J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K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L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M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N41"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row>
    <x:row r="42">
      <x:c r="A42" s="71" t="str">
        <x:v>1 · Nền tảng &amp; lõi</x:v>
      </x:c>
      <x:c r="B42" s="80" t="n">
        <x:f>COUNTIF('Ban_do_152_file'!$T$5:$T$156,"1 · Nền tảng &amp; lõi")</x:f>
        <x:v>9</x:v>
      </x:c>
      <x:c r="E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F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G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H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I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J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K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L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M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N42"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row>
    <x:row r="43">
      <x:c r="A43" s="71" t="str">
        <x:v>2 · 8 agent &amp; QUORUM</x:v>
      </x:c>
      <x:c r="B43" s="80" t="n">
        <x:f>COUNTIF('Ban_do_152_file'!$T$5:$T$156,"2 · 8 agent &amp; QUORUM")</x:f>
        <x:v>11</x:v>
      </x:c>
      <x:c r="E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F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G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H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I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J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K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L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M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c r="N43" s="84" t="str">
        <x:v>Gói Codex Edition codex.2 đã khóa nguồn 152/152, tạo 20 skill (có $p2p-idea cho người mới), 8 custom-agent TOML, config, installer, doctor và quy trình cập nhật nguồn sống/snapshot. Bước còn cần thực hiện trên Codex host là chạy QUORUM và xác nhận đủ tám thread thật bằng UI hoặc /agent.</x:v>
      </x:c>
    </x:row>
    <x:row r="44">
      <x:c r="A44" s="71" t="str">
        <x:v>3 · Lệnh &amp; prompt workflow</x:v>
      </x:c>
      <x:c r="B44" s="80" t="n">
        <x:f>COUNTIF('Ban_do_152_file'!$T$5:$T$156,"3 · Lệnh &amp; prompt workflow")</x:f>
        <x:v>17</x:v>
      </x:c>
    </x:row>
    <x:row r="45">
      <x:c r="A45" s="71" t="str">
        <x:v>4 · Scope, trạng thái &amp; đào tạo</x:v>
      </x:c>
      <x:c r="B45" s="80" t="n">
        <x:f>COUNTIF('Ban_do_152_file'!$T$5:$T$156,"4 · Scope, trạng thái &amp; đào tạo")</x:f>
        <x:v>8</x:v>
      </x:c>
      <x:c r="E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F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G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H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I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J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K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L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M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N45"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row>
    <x:row r="46">
      <x:c r="A46" s="71" t="str">
        <x:v>5 · Mô-đun mở rộng</x:v>
      </x:c>
      <x:c r="B46" s="80" t="n">
        <x:f>COUNTIF('Ban_do_152_file'!$T$5:$T$156,"5 · Mô-đun mở rộng")</x:f>
        <x:v>11</x:v>
      </x:c>
      <x:c r="E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F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G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H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I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J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K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L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M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N46"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row>
    <x:row r="47">
      <x:c r="A47" s="71" t="str">
        <x:v>6 · LIVE &amp; tích hợp</x:v>
      </x:c>
      <x:c r="B47" s="80" t="n">
        <x:f>COUNTIF('Ban_do_152_file'!$T$5:$T$156,"6 · LIVE &amp; tích hợp")</x:f>
        <x:v>10</x:v>
      </x:c>
      <x:c r="E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F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G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H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I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J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K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L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M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N47"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row>
    <x:row r="48">
      <x:c r="A48" s="71" t="str">
        <x:v>7 · Skill phụ &amp; PXPIPE</x:v>
      </x:c>
      <x:c r="B48" s="80" t="n">
        <x:f>COUNTIF('Ban_do_152_file'!$T$5:$T$156,"7 · Skill phụ &amp; PXPIPE")</x:f>
        <x:v>23</x:v>
      </x:c>
      <x:c r="E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F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G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H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I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J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K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L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M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N48"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row>
    <x:row r="49">
      <x:c r="A49" s="71" t="str">
        <x:v>8 · Tài liệu &amp; phát hành</x:v>
      </x:c>
      <x:c r="B49" s="80" t="n">
        <x:f>COUNTIF('Ban_do_152_file'!$T$5:$T$156,"8 · Tài liệu &amp; phát hành")</x:f>
        <x:v>15</x:v>
      </x:c>
      <x:c r="E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F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G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H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I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J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K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L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M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c r="N49" s="88" t="str">
        <x:v>Không có file nguồn nào bị cắt. Tuy nhiên ‘đã giữ đủ’ không đồng nghĩa mọi cơ chế đã được bật: dữ liệu LIVE là snapshot lịch sử, PXPIPE mặc định tắt, PowerShell mới được rà soát tĩnh và tám thread thật chưa được chạy trong Codex host của người dùng.</x:v>
      </x:c>
    </x:row>
    <x:row r="52">
      <x:c r="A52" s="59" t="str">
        <x:v>KHI TÁC GIẢ PHÁT HÀNH BẢN P2P MỚI</x:v>
      </x:c>
      <x:c r="B52" s="59" t="str">
        <x:v>KHI TÁC GIẢ PHÁT HÀNH BẢN P2P MỚI</x:v>
      </x:c>
      <x:c r="C52" s="59" t="str">
        <x:v>KHI TÁC GIẢ PHÁT HÀNH BẢN P2P MỚI</x:v>
      </x:c>
      <x:c r="D52" s="59" t="str">
        <x:v>KHI TÁC GIẢ PHÁT HÀNH BẢN P2P MỚI</x:v>
      </x:c>
      <x:c r="E52" s="59" t="str">
        <x:v>KHI TÁC GIẢ PHÁT HÀNH BẢN P2P MỚI</x:v>
      </x:c>
      <x:c r="F52" s="59" t="str">
        <x:v>KHI TÁC GIẢ PHÁT HÀNH BẢN P2P MỚI</x:v>
      </x:c>
      <x:c r="G52" s="59" t="str">
        <x:v>KHI TÁC GIẢ PHÁT HÀNH BẢN P2P MỚI</x:v>
      </x:c>
      <x:c r="H52" s="59" t="str">
        <x:v>KHI TÁC GIẢ PHÁT HÀNH BẢN P2P MỚI</x:v>
      </x:c>
      <x:c r="I52" s="59" t="str">
        <x:v>KHI TÁC GIẢ PHÁT HÀNH BẢN P2P MỚI</x:v>
      </x:c>
      <x:c r="J52" s="59" t="str">
        <x:v>KHI TÁC GIẢ PHÁT HÀNH BẢN P2P MỚI</x:v>
      </x:c>
      <x:c r="K52" s="59" t="str">
        <x:v>KHI TÁC GIẢ PHÁT HÀNH BẢN P2P MỚI</x:v>
      </x:c>
      <x:c r="L52" s="59" t="str">
        <x:v>KHI TÁC GIẢ PHÁT HÀNH BẢN P2P MỚI</x:v>
      </x:c>
      <x:c r="M52" s="59" t="str">
        <x:v>KHI TÁC GIẢ PHÁT HÀNH BẢN P2P MỚI</x:v>
      </x:c>
      <x:c r="N52" s="59" t="str">
        <x:v>KHI TÁC GIẢ PHÁT HÀNH BẢN P2P MỚI</x:v>
      </x:c>
    </x:row>
    <x:row r="53" ht="31" customHeight="1">
      <x:c r="A53" s="77" t="str">
        <x:v>1 · Giữ file master</x:v>
      </x:c>
      <x:c r="B53" s="77" t="str">
        <x:v>1 · Giữ file master</x:v>
      </x:c>
      <x:c r="C53" s="77" t="str">
        <x:v>1 · Giữ file master</x:v>
      </x:c>
      <x:c r="D53" s="65" t="str">
        <x:v>Đặt file Excel này trong Sources của một ChatGPT Project hoặc trong cùng thư mục dự án Codex; không tạo lại từ đầu.</x:v>
      </x:c>
      <x:c r="E53" s="65" t="str">
        <x:v>Đặt file Excel này trong Sources của một ChatGPT Project hoặc trong cùng thư mục dự án Codex; không tạo lại từ đầu.</x:v>
      </x:c>
      <x:c r="F53" s="65" t="str">
        <x:v>Đặt file Excel này trong Sources của một ChatGPT Project hoặc trong cùng thư mục dự án Codex; không tạo lại từ đầu.</x:v>
      </x:c>
      <x:c r="G53" s="65" t="str">
        <x:v>Đặt file Excel này trong Sources của một ChatGPT Project hoặc trong cùng thư mục dự án Codex; không tạo lại từ đầu.</x:v>
      </x:c>
      <x:c r="H53" s="65" t="str">
        <x:v>Đặt file Excel này trong Sources của một ChatGPT Project hoặc trong cùng thư mục dự án Codex; không tạo lại từ đầu.</x:v>
      </x:c>
      <x:c r="I53" s="65" t="str">
        <x:v>Đặt file Excel này trong Sources của một ChatGPT Project hoặc trong cùng thư mục dự án Codex; không tạo lại từ đầu.</x:v>
      </x:c>
      <x:c r="J53" s="65" t="str">
        <x:v>Đặt file Excel này trong Sources của một ChatGPT Project hoặc trong cùng thư mục dự án Codex; không tạo lại từ đầu.</x:v>
      </x:c>
      <x:c r="K53" s="65" t="str">
        <x:v>Đặt file Excel này trong Sources của một ChatGPT Project hoặc trong cùng thư mục dự án Codex; không tạo lại từ đầu.</x:v>
      </x:c>
      <x:c r="L53" s="65" t="str">
        <x:v>Đặt file Excel này trong Sources của một ChatGPT Project hoặc trong cùng thư mục dự án Codex; không tạo lại từ đầu.</x:v>
      </x:c>
      <x:c r="M53" s="65" t="str">
        <x:v>Đặt file Excel này trong Sources của một ChatGPT Project hoặc trong cùng thư mục dự án Codex; không tạo lại từ đầu.</x:v>
      </x:c>
      <x:c r="N53" s="65" t="str">
        <x:v>Đặt file Excel này trong Sources của một ChatGPT Project hoặc trong cùng thư mục dự án Codex; không tạo lại từ đầu.</x:v>
      </x:c>
    </x:row>
    <x:row r="54" ht="31" customHeight="1">
      <x:c r="A54" s="77" t="str">
        <x:v>2 · Cung cấp bản mới</x:v>
      </x:c>
      <x:c r="B54" s="77" t="str">
        <x:v>2 · Cung cấp bản mới</x:v>
      </x:c>
      <x:c r="C54" s="77" t="str">
        <x:v>2 · Cung cấp bản mới</x:v>
      </x:c>
      <x:c r="D54" s="69" t="str">
        <x:v>Ở chat mới, chọn lại file master và đính kèm ZIP mới hoặc URL release; thêm tài liệu ngoài release nếu tác giả cập nhật riêng.</x:v>
      </x:c>
      <x:c r="E54" s="69" t="str">
        <x:v>Ở chat mới, chọn lại file master và đính kèm ZIP mới hoặc URL release; thêm tài liệu ngoài release nếu tác giả cập nhật riêng.</x:v>
      </x:c>
      <x:c r="F54" s="69" t="str">
        <x:v>Ở chat mới, chọn lại file master và đính kèm ZIP mới hoặc URL release; thêm tài liệu ngoài release nếu tác giả cập nhật riêng.</x:v>
      </x:c>
      <x:c r="G54" s="69" t="str">
        <x:v>Ở chat mới, chọn lại file master và đính kèm ZIP mới hoặc URL release; thêm tài liệu ngoài release nếu tác giả cập nhật riêng.</x:v>
      </x:c>
      <x:c r="H54" s="69" t="str">
        <x:v>Ở chat mới, chọn lại file master và đính kèm ZIP mới hoặc URL release; thêm tài liệu ngoài release nếu tác giả cập nhật riêng.</x:v>
      </x:c>
      <x:c r="I54" s="69" t="str">
        <x:v>Ở chat mới, chọn lại file master và đính kèm ZIP mới hoặc URL release; thêm tài liệu ngoài release nếu tác giả cập nhật riêng.</x:v>
      </x:c>
      <x:c r="J54" s="69" t="str">
        <x:v>Ở chat mới, chọn lại file master và đính kèm ZIP mới hoặc URL release; thêm tài liệu ngoài release nếu tác giả cập nhật riêng.</x:v>
      </x:c>
      <x:c r="K54" s="69" t="str">
        <x:v>Ở chat mới, chọn lại file master và đính kèm ZIP mới hoặc URL release; thêm tài liệu ngoài release nếu tác giả cập nhật riêng.</x:v>
      </x:c>
      <x:c r="L54" s="69" t="str">
        <x:v>Ở chat mới, chọn lại file master và đính kèm ZIP mới hoặc URL release; thêm tài liệu ngoài release nếu tác giả cập nhật riêng.</x:v>
      </x:c>
      <x:c r="M54" s="69" t="str">
        <x:v>Ở chat mới, chọn lại file master và đính kèm ZIP mới hoặc URL release; thêm tài liệu ngoài release nếu tác giả cập nhật riêng.</x:v>
      </x:c>
      <x:c r="N54" s="69" t="str">
        <x:v>Ở chat mới, chọn lại file master và đính kèm ZIP mới hoặc URL release; thêm tài liệu ngoài release nếu tác giả cập nhật riêng.</x:v>
      </x:c>
    </x:row>
    <x:row r="55" ht="31" customHeight="1">
      <x:c r="A55" s="77" t="str">
        <x:v>3 · Ra lệnh ngắn</x:v>
      </x:c>
      <x:c r="B55" s="77" t="str">
        <x:v>3 · Ra lệnh ngắn</x:v>
      </x:c>
      <x:c r="C55" s="77" t="str">
        <x:v>3 · Ra lệnh ngắn</x:v>
      </x:c>
      <x:c r="D55" s="65" t="str">
        <x:v>Gõ: ‘Đọc Huong_dan_AI và Nguon_bo_sung, chạy UPDATE_MAP với ZIP đính kèm và dừng nếu chưa kiểm kê đủ 100%.’</x:v>
      </x:c>
      <x:c r="E55" s="65" t="str">
        <x:v>Gõ: ‘Đọc Huong_dan_AI và Nguon_bo_sung, chạy UPDATE_MAP với ZIP đính kèm và dừng nếu chưa kiểm kê đủ 100%.’</x:v>
      </x:c>
      <x:c r="F55" s="65" t="str">
        <x:v>Gõ: ‘Đọc Huong_dan_AI và Nguon_bo_sung, chạy UPDATE_MAP với ZIP đính kèm và dừng nếu chưa kiểm kê đủ 100%.’</x:v>
      </x:c>
      <x:c r="G55" s="65" t="str">
        <x:v>Gõ: ‘Đọc Huong_dan_AI và Nguon_bo_sung, chạy UPDATE_MAP với ZIP đính kèm và dừng nếu chưa kiểm kê đủ 100%.’</x:v>
      </x:c>
      <x:c r="H55" s="65" t="str">
        <x:v>Gõ: ‘Đọc Huong_dan_AI và Nguon_bo_sung, chạy UPDATE_MAP với ZIP đính kèm và dừng nếu chưa kiểm kê đủ 100%.’</x:v>
      </x:c>
      <x:c r="I55" s="65" t="str">
        <x:v>Gõ: ‘Đọc Huong_dan_AI và Nguon_bo_sung, chạy UPDATE_MAP với ZIP đính kèm và dừng nếu chưa kiểm kê đủ 100%.’</x:v>
      </x:c>
      <x:c r="J55" s="65" t="str">
        <x:v>Gõ: ‘Đọc Huong_dan_AI và Nguon_bo_sung, chạy UPDATE_MAP với ZIP đính kèm và dừng nếu chưa kiểm kê đủ 100%.’</x:v>
      </x:c>
      <x:c r="K55" s="65" t="str">
        <x:v>Gõ: ‘Đọc Huong_dan_AI và Nguon_bo_sung, chạy UPDATE_MAP với ZIP đính kèm và dừng nếu chưa kiểm kê đủ 100%.’</x:v>
      </x:c>
      <x:c r="L55" s="65" t="str">
        <x:v>Gõ: ‘Đọc Huong_dan_AI và Nguon_bo_sung, chạy UPDATE_MAP với ZIP đính kèm và dừng nếu chưa kiểm kê đủ 100%.’</x:v>
      </x:c>
      <x:c r="M55" s="65" t="str">
        <x:v>Gõ: ‘Đọc Huong_dan_AI và Nguon_bo_sung, chạy UPDATE_MAP với ZIP đính kèm và dừng nếu chưa kiểm kê đủ 100%.’</x:v>
      </x:c>
      <x:c r="N55" s="65" t="str">
        <x:v>Gõ: ‘Đọc Huong_dan_AI và Nguon_bo_sung, chạy UPDATE_MAP với ZIP đính kèm và dừng nếu chưa kiểm kê đủ 100%.’</x:v>
      </x:c>
    </x:row>
  </x:sheetData>
  <x:mergeCells>
    <x:mergeCell ref="A1:N1"/>
    <x:mergeCell ref="A2:N2"/>
    <x:mergeCell ref="A4:B4"/>
    <x:mergeCell ref="A5:B6"/>
    <x:mergeCell ref="D4:E4"/>
    <x:mergeCell ref="D5:E6"/>
    <x:mergeCell ref="G4:H4"/>
    <x:mergeCell ref="G5:H6"/>
    <x:mergeCell ref="J4:K4"/>
    <x:mergeCell ref="J5:K6"/>
    <x:mergeCell ref="M4:N4"/>
    <x:mergeCell ref="M5:N6"/>
    <x:mergeCell ref="A8:N8"/>
    <x:mergeCell ref="A9:C9"/>
    <x:mergeCell ref="D9:N9"/>
    <x:mergeCell ref="A10:C10"/>
    <x:mergeCell ref="D10:N10"/>
    <x:mergeCell ref="A11:C11"/>
    <x:mergeCell ref="D11:N11"/>
    <x:mergeCell ref="A12:C12"/>
    <x:mergeCell ref="D12:N12"/>
    <x:mergeCell ref="A14:B14"/>
    <x:mergeCell ref="L14:N14"/>
    <x:mergeCell ref="A31:N31"/>
    <x:mergeCell ref="A32:D32"/>
    <x:mergeCell ref="E32:N32"/>
    <x:mergeCell ref="A33:D33"/>
    <x:mergeCell ref="E33:N33"/>
    <x:mergeCell ref="A34:D34"/>
    <x:mergeCell ref="E34:N34"/>
    <x:mergeCell ref="A35:D35"/>
    <x:mergeCell ref="E35:N35"/>
    <x:mergeCell ref="A36:D36"/>
    <x:mergeCell ref="E36:N36"/>
    <x:mergeCell ref="A39:C39"/>
    <x:mergeCell ref="E39:N39"/>
    <x:mergeCell ref="E40:N43"/>
    <x:mergeCell ref="E45:N49"/>
    <x:mergeCell ref="A52:N52"/>
    <x:mergeCell ref="A53:C53"/>
    <x:mergeCell ref="D53:N53"/>
    <x:mergeCell ref="A54:C54"/>
    <x:mergeCell ref="D54:N54"/>
    <x:mergeCell ref="A55:C55"/>
    <x:mergeCell ref="D55:N55"/>
    <x:mergeCell ref="A37:D37"/>
    <x:mergeCell ref="E37:N37"/>
  </x:mergeCells>
  <x:pageMargins left="0.7" right="0.7" top="0.75" bottom="0.75" header="0.3" footer="0.3"/>
  <x:drawing xmlns:r="http://schemas.openxmlformats.org/officeDocument/2006/relationships" r:id="R63038e7a835d4142"/>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51" hidden="0" customWidth="1"/>
    <x:col min="3" max="3" width="29" hidden="0" customWidth="1"/>
    <x:col min="4" max="4" width="29" hidden="0" customWidth="1"/>
    <x:col min="5" max="5" width="11" hidden="0" customWidth="1"/>
    <x:col min="6" max="6" width="14" hidden="0" customWidth="1"/>
    <x:col min="7" max="7" width="13" hidden="0" customWidth="1"/>
    <x:col min="8" max="8" width="55" hidden="0" customWidth="1"/>
    <x:col min="9" max="9" width="55" hidden="0" customWidth="1"/>
    <x:col min="10" max="10" width="31" hidden="0" customWidth="1"/>
    <x:col min="11" max="11" width="32" hidden="0" customWidth="1"/>
    <x:col min="12" max="12" width="55" hidden="0" customWidth="1"/>
    <x:col min="13" max="13" width="53" hidden="0" customWidth="1"/>
    <x:col min="14" max="14" width="56" hidden="0" customWidth="1"/>
    <x:col min="15" max="15" width="27" hidden="0" customWidth="1"/>
    <x:col min="16" max="16" width="52" hidden="0" customWidth="1"/>
    <x:col min="17" max="17" width="43" hidden="0" customWidth="1"/>
    <x:col min="18" max="18" width="36" hidden="0" customWidth="1"/>
    <x:col min="19" max="19" width="42" hidden="0" customWidth="1"/>
    <x:col min="20" max="20" width="29" hidden="0" customWidth="1"/>
    <x:col min="21" max="21" width="18" hidden="0" customWidth="1"/>
    <x:col min="22" max="22" width="40" hidden="0" customWidth="1"/>
    <x:col min="23" max="23" width="58" hidden="0" customWidth="1"/>
    <x:col min="24" max="24" width="58" hidden="0" customWidth="1"/>
    <x:col min="25" max="25" width="62" hidden="0" customWidth="1"/>
  </x:cols>
  <x:sheetData>
    <x:row r="1" ht="34" customHeight="1">
      <x:c r="A1" s="4" t="str">
        <x:v>BẢN ĐỒ CHUYỂN ĐỔI ĐẦY ĐỦ 152 FILE — P2P 8.4.6-C → CODEX</x:v>
      </x:c>
      <x:c r="B1" s="4" t="str">
        <x:v>BẢN ĐỒ CHUYỂN ĐỔI ĐẦY ĐỦ 152 FILE — P2P 8.4.6-C → CODEX</x:v>
      </x:c>
      <x:c r="C1" s="4" t="str">
        <x:v>BẢN ĐỒ CHUYỂN ĐỔI ĐẦY ĐỦ 152 FILE — P2P 8.4.6-C → CODEX</x:v>
      </x:c>
      <x:c r="D1" s="4" t="str">
        <x:v>BẢN ĐỒ CHUYỂN ĐỔI ĐẦY ĐỦ 152 FILE — P2P 8.4.6-C → CODEX</x:v>
      </x:c>
      <x:c r="E1" s="4" t="str">
        <x:v>BẢN ĐỒ CHUYỂN ĐỔI ĐẦY ĐỦ 152 FILE — P2P 8.4.6-C → CODEX</x:v>
      </x:c>
      <x:c r="F1" s="4" t="str">
        <x:v>BẢN ĐỒ CHUYỂN ĐỔI ĐẦY ĐỦ 152 FILE — P2P 8.4.6-C → CODEX</x:v>
      </x:c>
      <x:c r="G1" s="4" t="str">
        <x:v>BẢN ĐỒ CHUYỂN ĐỔI ĐẦY ĐỦ 152 FILE — P2P 8.4.6-C → CODEX</x:v>
      </x:c>
      <x:c r="H1" s="4" t="str">
        <x:v>BẢN ĐỒ CHUYỂN ĐỔI ĐẦY ĐỦ 152 FILE — P2P 8.4.6-C → CODEX</x:v>
      </x:c>
      <x:c r="I1" s="4" t="str">
        <x:v>BẢN ĐỒ CHUYỂN ĐỔI ĐẦY ĐỦ 152 FILE — P2P 8.4.6-C → CODEX</x:v>
      </x:c>
      <x:c r="J1" s="4" t="str">
        <x:v>BẢN ĐỒ CHUYỂN ĐỔI ĐẦY ĐỦ 152 FILE — P2P 8.4.6-C → CODEX</x:v>
      </x:c>
      <x:c r="K1" s="4" t="str">
        <x:v>BẢN ĐỒ CHUYỂN ĐỔI ĐẦY ĐỦ 152 FILE — P2P 8.4.6-C → CODEX</x:v>
      </x:c>
      <x:c r="L1" s="4" t="str">
        <x:v>BẢN ĐỒ CHUYỂN ĐỔI ĐẦY ĐỦ 152 FILE — P2P 8.4.6-C → CODEX</x:v>
      </x:c>
      <x:c r="M1" s="4" t="str">
        <x:v>BẢN ĐỒ CHUYỂN ĐỔI ĐẦY ĐỦ 152 FILE — P2P 8.4.6-C → CODEX</x:v>
      </x:c>
      <x:c r="N1" s="4" t="str">
        <x:v>BẢN ĐỒ CHUYỂN ĐỔI ĐẦY ĐỦ 152 FILE — P2P 8.4.6-C → CODEX</x:v>
      </x:c>
      <x:c r="O1" s="4" t="str">
        <x:v>BẢN ĐỒ CHUYỂN ĐỔI ĐẦY ĐỦ 152 FILE — P2P 8.4.6-C → CODEX</x:v>
      </x:c>
      <x:c r="P1" s="4" t="str">
        <x:v>BẢN ĐỒ CHUYỂN ĐỔI ĐẦY ĐỦ 152 FILE — P2P 8.4.6-C → CODEX</x:v>
      </x:c>
      <x:c r="Q1" s="4" t="str">
        <x:v>BẢN ĐỒ CHUYỂN ĐỔI ĐẦY ĐỦ 152 FILE — P2P 8.4.6-C → CODEX</x:v>
      </x:c>
      <x:c r="R1" s="4" t="str">
        <x:v>BẢN ĐỒ CHUYỂN ĐỔI ĐẦY ĐỦ 152 FILE — P2P 8.4.6-C → CODEX</x:v>
      </x:c>
      <x:c r="S1" s="4" t="str">
        <x:v>BẢN ĐỒ CHUYỂN ĐỔI ĐẦY ĐỦ 152 FILE — P2P 8.4.6-C → CODEX</x:v>
      </x:c>
      <x:c r="T1" s="4" t="str">
        <x:v>BẢN ĐỒ CHUYỂN ĐỔI ĐẦY ĐỦ 152 FILE — P2P 8.4.6-C → CODEX</x:v>
      </x:c>
      <x:c r="U1" s="4" t="str">
        <x:v>BẢN ĐỒ CHUYỂN ĐỔI ĐẦY ĐỦ 152 FILE — P2P 8.4.6-C → CODEX</x:v>
      </x:c>
      <x:c r="V1" s="4" t="str">
        <x:v>BẢN ĐỒ CHUYỂN ĐỔI ĐẦY ĐỦ 152 FILE — P2P 8.4.6-C → CODEX</x:v>
      </x:c>
      <x:c r="W1" s="4" t="str">
        <x:v>BẢN ĐỒ CHUYỂN ĐỔI ĐẦY ĐỦ 152 FILE — P2P 8.4.6-C → CODEX</x:v>
      </x:c>
      <x:c r="X1" s="4" t="str">
        <x:v>BẢN ĐỒ CHUYỂN ĐỔI ĐẦY ĐỦ 152 FILE — P2P 8.4.6-C → CODEX</x:v>
      </x:c>
      <x:c r="Y1" s="4" t="str">
        <x:v>BẢN ĐỒ CHUYỂN ĐỔI ĐẦY ĐỦ 152 FILE — P2P 8.4.6-C → CODEX</x:v>
      </x:c>
    </x:row>
    <x:row r="2" ht="32" customHeight="1">
      <x:c r="A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B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C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D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E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F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G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H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I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J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K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L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M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N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O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P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Q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R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S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T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U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V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W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X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c r="Y2" s="8" t="str">
        <x:v>Mỗi dòng là một file thật trong ZIP. Cột M chứng minh nơi lưu nguồn 1:1; cột P là đích thực tế trong gói Codex hoặc source snapshot khi không tạo runtime riêng. Trạng thái đã được cập nhật sau đợt chuyển đổi Codex Edition.</x:v>
      </x:c>
    </x:row>
    <x:row r="3" ht="26" customHeight="1">
      <x:c r="A3" s="12" t="str">
        <x:v>ZIP SHA-256: cafa5bbfa48048a9f2e6c54f6cfc329d2b25b34ea764809175dbae0e8f233fd8  •  152 file  •  1.502.479 byte giải nén  •  Đối chiếu ngày 2026-08-07</x:v>
      </x:c>
      <x:c r="B3" s="12" t="str">
        <x:v>ZIP SHA-256: cafa5bbfa48048a9f2e6c54f6cfc329d2b25b34ea764809175dbae0e8f233fd8  •  152 file  •  1.502.479 byte giải nén  •  Đối chiếu ngày 2026-08-07</x:v>
      </x:c>
      <x:c r="C3" s="12" t="str">
        <x:v>ZIP SHA-256: cafa5bbfa48048a9f2e6c54f6cfc329d2b25b34ea764809175dbae0e8f233fd8  •  152 file  •  1.502.479 byte giải nén  •  Đối chiếu ngày 2026-08-07</x:v>
      </x:c>
      <x:c r="D3" s="12" t="str">
        <x:v>ZIP SHA-256: cafa5bbfa48048a9f2e6c54f6cfc329d2b25b34ea764809175dbae0e8f233fd8  •  152 file  •  1.502.479 byte giải nén  •  Đối chiếu ngày 2026-08-07</x:v>
      </x:c>
      <x:c r="E3" s="12" t="str">
        <x:v>ZIP SHA-256: cafa5bbfa48048a9f2e6c54f6cfc329d2b25b34ea764809175dbae0e8f233fd8  •  152 file  •  1.502.479 byte giải nén  •  Đối chiếu ngày 2026-08-07</x:v>
      </x:c>
      <x:c r="F3" s="12" t="str">
        <x:v>ZIP SHA-256: cafa5bbfa48048a9f2e6c54f6cfc329d2b25b34ea764809175dbae0e8f233fd8  •  152 file  •  1.502.479 byte giải nén  •  Đối chiếu ngày 2026-08-07</x:v>
      </x:c>
      <x:c r="G3" s="12" t="str">
        <x:v>ZIP SHA-256: cafa5bbfa48048a9f2e6c54f6cfc329d2b25b34ea764809175dbae0e8f233fd8  •  152 file  •  1.502.479 byte giải nén  •  Đối chiếu ngày 2026-08-07</x:v>
      </x:c>
      <x:c r="H3" s="12" t="str">
        <x:v>ZIP SHA-256: cafa5bbfa48048a9f2e6c54f6cfc329d2b25b34ea764809175dbae0e8f233fd8  •  152 file  •  1.502.479 byte giải nén  •  Đối chiếu ngày 2026-08-07</x:v>
      </x:c>
      <x:c r="I3" s="12" t="str">
        <x:v>ZIP SHA-256: cafa5bbfa48048a9f2e6c54f6cfc329d2b25b34ea764809175dbae0e8f233fd8  •  152 file  •  1.502.479 byte giải nén  •  Đối chiếu ngày 2026-08-07</x:v>
      </x:c>
      <x:c r="J3" s="12" t="str">
        <x:v>ZIP SHA-256: cafa5bbfa48048a9f2e6c54f6cfc329d2b25b34ea764809175dbae0e8f233fd8  •  152 file  •  1.502.479 byte giải nén  •  Đối chiếu ngày 2026-08-07</x:v>
      </x:c>
      <x:c r="K3" s="12" t="str">
        <x:v>ZIP SHA-256: cafa5bbfa48048a9f2e6c54f6cfc329d2b25b34ea764809175dbae0e8f233fd8  •  152 file  •  1.502.479 byte giải nén  •  Đối chiếu ngày 2026-08-07</x:v>
      </x:c>
      <x:c r="L3" s="12" t="str">
        <x:v>ZIP SHA-256: cafa5bbfa48048a9f2e6c54f6cfc329d2b25b34ea764809175dbae0e8f233fd8  •  152 file  •  1.502.479 byte giải nén  •  Đối chiếu ngày 2026-08-07</x:v>
      </x:c>
      <x:c r="M3" s="12" t="str">
        <x:v>ZIP SHA-256: cafa5bbfa48048a9f2e6c54f6cfc329d2b25b34ea764809175dbae0e8f233fd8  •  152 file  •  1.502.479 byte giải nén  •  Đối chiếu ngày 2026-08-07</x:v>
      </x:c>
      <x:c r="N3" s="12" t="str">
        <x:v>ZIP SHA-256: cafa5bbfa48048a9f2e6c54f6cfc329d2b25b34ea764809175dbae0e8f233fd8  •  152 file  •  1.502.479 byte giải nén  •  Đối chiếu ngày 2026-08-07</x:v>
      </x:c>
      <x:c r="O3" s="12" t="str">
        <x:v>ZIP SHA-256: cafa5bbfa48048a9f2e6c54f6cfc329d2b25b34ea764809175dbae0e8f233fd8  •  152 file  •  1.502.479 byte giải nén  •  Đối chiếu ngày 2026-08-07</x:v>
      </x:c>
      <x:c r="P3" s="12" t="str">
        <x:v>ZIP SHA-256: cafa5bbfa48048a9f2e6c54f6cfc329d2b25b34ea764809175dbae0e8f233fd8  •  152 file  •  1.502.479 byte giải nén  •  Đối chiếu ngày 2026-08-07</x:v>
      </x:c>
      <x:c r="Q3" s="12" t="str">
        <x:v>ZIP SHA-256: cafa5bbfa48048a9f2e6c54f6cfc329d2b25b34ea764809175dbae0e8f233fd8  •  152 file  •  1.502.479 byte giải nén  •  Đối chiếu ngày 2026-08-07</x:v>
      </x:c>
      <x:c r="R3" s="12" t="str">
        <x:v>ZIP SHA-256: cafa5bbfa48048a9f2e6c54f6cfc329d2b25b34ea764809175dbae0e8f233fd8  •  152 file  •  1.502.479 byte giải nén  •  Đối chiếu ngày 2026-08-07</x:v>
      </x:c>
      <x:c r="S3" s="12" t="str">
        <x:v>ZIP SHA-256: cafa5bbfa48048a9f2e6c54f6cfc329d2b25b34ea764809175dbae0e8f233fd8  •  152 file  •  1.502.479 byte giải nén  •  Đối chiếu ngày 2026-08-07</x:v>
      </x:c>
      <x:c r="T3" s="12" t="str">
        <x:v>ZIP SHA-256: cafa5bbfa48048a9f2e6c54f6cfc329d2b25b34ea764809175dbae0e8f233fd8  •  152 file  •  1.502.479 byte giải nén  •  Đối chiếu ngày 2026-08-07</x:v>
      </x:c>
      <x:c r="U3" s="12" t="str">
        <x:v>ZIP SHA-256: cafa5bbfa48048a9f2e6c54f6cfc329d2b25b34ea764809175dbae0e8f233fd8  •  152 file  •  1.502.479 byte giải nén  •  Đối chiếu ngày 2026-08-07</x:v>
      </x:c>
      <x:c r="V3" s="12" t="str">
        <x:v>ZIP SHA-256: cafa5bbfa48048a9f2e6c54f6cfc329d2b25b34ea764809175dbae0e8f233fd8  •  152 file  •  1.502.479 byte giải nén  •  Đối chiếu ngày 2026-08-07</x:v>
      </x:c>
      <x:c r="W3" s="12" t="str">
        <x:v>ZIP SHA-256: cafa5bbfa48048a9f2e6c54f6cfc329d2b25b34ea764809175dbae0e8f233fd8  •  152 file  •  1.502.479 byte giải nén  •  Đối chiếu ngày 2026-08-07</x:v>
      </x:c>
      <x:c r="X3" s="12" t="str">
        <x:v>ZIP SHA-256: cafa5bbfa48048a9f2e6c54f6cfc329d2b25b34ea764809175dbae0e8f233fd8  •  152 file  •  1.502.479 byte giải nén  •  Đối chiếu ngày 2026-08-07</x:v>
      </x:c>
      <x:c r="Y3" s="12" t="str">
        <x:v>ZIP SHA-256: cafa5bbfa48048a9f2e6c54f6cfc329d2b25b34ea764809175dbae0e8f233fd8  •  152 file  •  1.502.479 byte giải nén  •  Đối chiếu ngày 2026-08-07</x:v>
      </x:c>
    </x:row>
    <x:row r="4" ht="48" customHeight="1">
      <x:c r="A4" s="18" t="str">
        <x:v>STT</x:v>
      </x:c>
      <x:c r="B4" s="18" t="str">
        <x:v>Đường dẫn nguồn trong ZIP</x:v>
      </x:c>
      <x:c r="C4" s="18" t="str">
        <x:v>Tên file</x:v>
      </x:c>
      <x:c r="D4" s="18" t="str">
        <x:v>Khu vực nguồn</x:v>
      </x:c>
      <x:c r="E4" s="18" t="str">
        <x:v>Loại tệp</x:v>
      </x:c>
      <x:c r="F4" s="18" t="str">
        <x:v>Kích thước gốc (byte)</x:v>
      </x:c>
      <x:c r="G4" s="18" t="str">
        <x:v>CRC32</x:v>
      </x:c>
      <x:c r="H4" s="18" t="str">
        <x:v>Metadata/tiêu đề gốc</x:v>
      </x:c>
      <x:c r="I4" s="18" t="str">
        <x:v>Chức năng gốc — giải thích tiếng Việt</x:v>
      </x:c>
      <x:c r="J4" s="18" t="str">
        <x:v>Nhóm năng lực</x:v>
      </x:c>
      <x:c r="K4" s="18" t="str">
        <x:v>Vai trò của bản nguồn</x:v>
      </x:c>
      <x:c r="L4" s="18" t="str">
        <x:v>Quan hệ trùng lặp/biến thể</x:v>
      </x:c>
      <x:c r="M4" s="18" t="str">
        <x:v>Đích lưu nguồn 1:1</x:v>
      </x:c>
      <x:c r="N4" s="18" t="str">
        <x:v>Quy tắc bảo tồn</x:v>
      </x:c>
      <x:c r="O4" s="18" t="str">
        <x:v>Loại đích Codex</x:v>
      </x:c>
      <x:c r="P4" s="18" t="str">
        <x:v>Đường dẫn vận hành Codex đề xuất</x:v>
      </x:c>
      <x:c r="Q4" s="18" t="str">
        <x:v>Hành động chuyển đổi</x:v>
      </x:c>
      <x:c r="R4" s="18" t="str">
        <x:v>Mức tương thích</x:v>
      </x:c>
      <x:c r="S4" s="18" t="str">
        <x:v>Cách nạp khi chạy</x:v>
      </x:c>
      <x:c r="T4" s="18" t="str">
        <x:v>Giai đoạn</x:v>
      </x:c>
      <x:c r="U4" s="18" t="str">
        <x:v>Ưu tiên</x:v>
      </x:c>
      <x:c r="V4" s="18" t="str">
        <x:v>Trạng thái hiện tại</x:v>
      </x:c>
      <x:c r="W4" s="18" t="str">
        <x:v>Tiêu chí kiểm thử</x:v>
      </x:c>
      <x:c r="X4" s="18" t="str">
        <x:v>Rủi ro/ghi chú</x:v>
      </x:c>
      <x:c r="Y4" s="18" t="str">
        <x:v>Nguồn Codex chính thức</x:v>
      </x:c>
    </x:row>
    <x:row r="5" ht="68" customHeight="1">
      <x:c r="A5" s="23" t="n">
        <x:v>1</x:v>
      </x:c>
      <x:c r="B5" s="22" t="str">
        <x:v>8.4.6-C/ARCHITECTURE_MAP.md</x:v>
      </x:c>
      <x:c r="C5" s="22" t="str">
        <x:v>ARCHITECTURE_MAP.md</x:v>
      </x:c>
      <x:c r="D5" s="22" t="str">
        <x:v>01 · Tài liệu gốc</x:v>
      </x:c>
      <x:c r="E5" s="23" t="str">
        <x:v>.md</x:v>
      </x:c>
      <x:c r="F5" s="24" t="n">
        <x:v>15575</x:v>
      </x:c>
      <x:c r="G5" s="23" t="str">
        <x:v>9F6D26A6</x:v>
      </x:c>
      <x:c r="H5" s="22" t="str">
        <x:v>Tiêu đề: P2P v8C.3 — ARCHITECTURE MAP (maintainer's graph) / 0. What P2P is (mental model)</x:v>
      </x:c>
      <x:c r="I5" s="22" t="str">
        <x:v>Sơ đồ kiến trúc tổng thể, quan hệ phụ thuộc và thứ tự nạp của P2P.</x:v>
      </x:c>
      <x:c r="J5" s="22" t="str">
        <x:v>Tài liệu &amp; truy vết</x:v>
      </x:c>
      <x:c r="K5" s="22" t="str">
        <x:v>Tài liệu phát hành/đối chiếu</x:v>
      </x:c>
      <x:c r="L5" s="22" t="str">
        <x:v>Liên quan nội dung với for-chat/docs/MINDMAP_v8C3.md; không trùng byte.</x:v>
      </x:c>
      <x:c r="M5" s="22" t="str">
        <x:v>source/8.4.6-C/ARCHITECTURE_MAP.md</x:v>
      </x:c>
      <x:c r="N5" s="22" t="str">
        <x:v>Giữ nguyên byte trong source/8.4.6-C; bản Codex ghi đường dẫn nguồn và CRC.</x:v>
      </x:c>
      <x:c r="O5" s="22" t="str">
        <x:v>Tài liệu Codex</x:v>
      </x:c>
      <x:c r="P5" s="22" t="str">
        <x:v>docs/KIEN-TRUC.md</x:v>
      </x:c>
      <x:c r="Q5" s="22" t="str">
        <x:v>KEEP_SOURCE + ADAPT_DOCS</x:v>
      </x:c>
      <x:c r="R5" s="22" t="str">
        <x:v>Cao · nội dung giữ được</x:v>
      </x:c>
      <x:c r="S5" s="22" t="str">
        <x:v>Không nạp runtime; người dùng/maintainer đọc khi cần</x:v>
      </x:c>
      <x:c r="T5" s="22" t="str">
        <x:v>8 · Tài liệu &amp; phát hành</x:v>
      </x:c>
      <x:c r="U5" s="22" t="str">
        <x:v>P1 · Cao</x:v>
      </x:c>
      <x:c r="V5" s="22" t="str">
        <x:v>Đã giữ nguồn và có bản thích nghi Codex</x:v>
      </x:c>
      <x:c r="W5" s="22" t="str">
        <x:v>CRC nguồn khớp ZIP; liên kết không hỏng; tiếng Nga/Việt/Anh hiển thị đúng; hướng dẫn Codex được người mới làm lại thành công.</x:v>
      </x:c>
      <x:c r="X5" s="22" t="str">
        <x:v>Không thấy rủi ro riêng ngoài yêu cầu parity và truy vết nguồn. Đích đề xuất ban đầu: docs/ARCHITECTURE_MAP.md. Đích thực tế trong gói: docs/KIEN-TRUC.md. Bằng chứng: SOURCE_HASH_VERIFIED; ADAPTED_TARGET_PRESENT.</x:v>
      </x:c>
      <x:c r="Y5" s="22" t="str">
        <x:v>https://learn.chatgpt.com/docs/customization/overview</x:v>
      </x:c>
    </x:row>
    <x:row r="6" ht="68" customHeight="1">
      <x:c r="A6" s="23" t="n">
        <x:v>2</x:v>
      </x:c>
      <x:c r="B6" s="22" t="str">
        <x:v>8.4.6-C/CHANGELOG.md</x:v>
      </x:c>
      <x:c r="C6" s="22" t="str">
        <x:v>CHANGELOG.md</x:v>
      </x:c>
      <x:c r="D6" s="22" t="str">
        <x:v>01 · Tài liệu gốc</x:v>
      </x:c>
      <x:c r="E6" s="23" t="str">
        <x:v>.md</x:v>
      </x:c>
      <x:c r="F6" s="24" t="n">
        <x:v>30021</x:v>
      </x:c>
      <x:c r="G6" s="23" t="str">
        <x:v>57E3226E</x:v>
      </x:c>
      <x:c r="H6" s="22" t="str">
        <x:v>scope: Full changelog for v8C.3/v8C.4 release line. Covers v8C.2 → v8C.4 changes. For earlier history see v8C.2 docs.; version: v8C.3; Tiêu đề: P2P v8C.3 — CHANGELOG / [8.4.6-C] — 2026-07-26</x:v>
      </x:c>
      <x:c r="I6" s="22" t="str">
        <x:v>Lịch sử thay đổi và các mốc phát hành để truy vết hành vi giữa các phiên bản.</x:v>
      </x:c>
      <x:c r="J6" s="22" t="str">
        <x:v>Tài liệu &amp; truy vết</x:v>
      </x:c>
      <x:c r="K6" s="22" t="str">
        <x:v>Tài liệu phát hành/đối chiếu</x:v>
      </x:c>
      <x:c r="L6" s="22" t="str">
        <x:v>Liên quan bản changelog v8C3 trong for-chat; phạm vi phiên bản khác.</x:v>
      </x:c>
      <x:c r="M6" s="22" t="str">
        <x:v>source/8.4.6-C/CHANGELOG.md</x:v>
      </x:c>
      <x:c r="N6" s="22" t="str">
        <x:v>Giữ nguyên byte trong source/8.4.6-C; bản Codex ghi đường dẫn nguồn và CRC.</x:v>
      </x:c>
      <x:c r="O6" s="22" t="str">
        <x:v>Tài liệu Codex</x:v>
      </x:c>
      <x:c r="P6" s="22" t="str">
        <x:v>source/8.4.6-C/CHANGELOG.md</x:v>
      </x:c>
      <x:c r="Q6" s="22" t="str">
        <x:v>KEEP_SOURCE + ADAPT_DOCS</x:v>
      </x:c>
      <x:c r="R6" s="22" t="str">
        <x:v>Cao · nội dung giữ được</x:v>
      </x:c>
      <x:c r="S6" s="22" t="str">
        <x:v>Không nạp runtime; người dùng/maintainer đọc khi cần</x:v>
      </x:c>
      <x:c r="T6" s="22" t="str">
        <x:v>8 · Tài liệu &amp; phát hành</x:v>
      </x:c>
      <x:c r="U6" s="22" t="str">
        <x:v>P1 · Cao</x:v>
      </x:c>
      <x:c r="V6" s="22" t="str">
        <x:v>Đã giữ nguyên nguồn; không tạo runtime riêng</x:v>
      </x:c>
      <x:c r="W6" s="22" t="str">
        <x:v>CRC nguồn khớp ZIP; liên kết không hỏng; tiếng Nga/Việt/Anh hiển thị đúng; hướng dẫn Codex được người mới làm lại thành công.</x:v>
      </x:c>
      <x:c r="X6" s="22" t="str">
        <x:v>Không thấy rủi ro riêng ngoài yêu cầu parity và truy vết nguồn. Không tạo runtime riêng; toàn văn vẫn còn trong source snapshot và manifest truy vết. Bằng chứng: SOURCE_HASH_VERIFIED; NO_SEPARATE_RUNTIME_TARGET.</x:v>
      </x:c>
      <x:c r="Y6" s="22" t="str">
        <x:v>https://learn.chatgpt.com/docs/customization/overview</x:v>
      </x:c>
    </x:row>
    <x:row r="7" ht="68" customHeight="1">
      <x:c r="A7" s="23" t="n">
        <x:v>3</x:v>
      </x:c>
      <x:c r="B7" s="22" t="str">
        <x:v>8.4.6-C/README.en.md</x:v>
      </x:c>
      <x:c r="C7" s="22" t="str">
        <x:v>README.en.md</x:v>
      </x:c>
      <x:c r="D7" s="22" t="str">
        <x:v>01 · Tài liệu gốc</x:v>
      </x:c>
      <x:c r="E7" s="23" t="str">
        <x:v>.md</x:v>
      </x:c>
      <x:c r="F7" s="24" t="n">
        <x:v>2244</x:v>
      </x:c>
      <x:c r="G7" s="23" t="str">
        <x:v>ECF9A220</x:v>
      </x:c>
      <x:c r="H7" s="22" t="str">
        <x:v>Tiêu đề: 🟦 P2P 8.4.6-C — Claude Native Edition / Who it's for</x:v>
      </x:c>
      <x:c r="I7" s="22" t="str">
        <x:v>Tài liệu giới thiệu P2P bằng tiếng Anh, đối tượng sử dụng và cách bắt đầu.</x:v>
      </x:c>
      <x:c r="J7" s="22" t="str">
        <x:v>Tài liệu &amp; truy vết</x:v>
      </x:c>
      <x:c r="K7" s="22" t="str">
        <x:v>Tài liệu phát hành/đối chiếu</x:v>
      </x:c>
      <x:c r="L7" s="22" t="str">
        <x:v>Không phát hiện cặp tương ứng rõ ràng.</x:v>
      </x:c>
      <x:c r="M7" s="22" t="str">
        <x:v>source/8.4.6-C/README.en.md</x:v>
      </x:c>
      <x:c r="N7" s="22" t="str">
        <x:v>Giữ nguyên byte trong source/8.4.6-C; bản Codex ghi đường dẫn nguồn và CRC.</x:v>
      </x:c>
      <x:c r="O7" s="22" t="str">
        <x:v>Tài liệu Codex</x:v>
      </x:c>
      <x:c r="P7" s="22" t="str">
        <x:v>docs/SU-DUNG.md</x:v>
      </x:c>
      <x:c r="Q7" s="22" t="str">
        <x:v>KEEP_SOURCE + ADAPT_DOCS</x:v>
      </x:c>
      <x:c r="R7" s="22" t="str">
        <x:v>Cao · nội dung giữ được</x:v>
      </x:c>
      <x:c r="S7" s="22" t="str">
        <x:v>Không nạp runtime; người dùng/maintainer đọc khi cần</x:v>
      </x:c>
      <x:c r="T7" s="22" t="str">
        <x:v>8 · Tài liệu &amp; phát hành</x:v>
      </x:c>
      <x:c r="U7" s="22" t="str">
        <x:v>P1 · Cao</x:v>
      </x:c>
      <x:c r="V7" s="22" t="str">
        <x:v>Đã giữ nguồn và có bản thích nghi Codex</x:v>
      </x:c>
      <x:c r="W7" s="22" t="str">
        <x:v>CRC nguồn khớp ZIP; liên kết không hỏng; tiếng Nga/Việt/Anh hiển thị đúng; hướng dẫn Codex được người mới làm lại thành công.</x:v>
      </x:c>
      <x:c r="X7" s="22" t="str">
        <x:v>Không thấy rủi ro riêng ngoài yêu cầu parity và truy vết nguồn. Đích đề xuất ban đầu: docs/README.en.md. Đích thực tế trong gói: docs/SU-DUNG.md. Bằng chứng: SOURCE_HASH_VERIFIED; ADAPTED_TARGET_PRESENT.</x:v>
      </x:c>
      <x:c r="Y7" s="22" t="str">
        <x:v>https://learn.chatgpt.com/docs/customization/overview</x:v>
      </x:c>
    </x:row>
    <x:row r="8" ht="68" customHeight="1">
      <x:c r="A8" s="23" t="n">
        <x:v>4</x:v>
      </x:c>
      <x:c r="B8" s="22" t="str">
        <x:v>8.4.6-C/README.md</x:v>
      </x:c>
      <x:c r="C8" s="22" t="str">
        <x:v>README.md</x:v>
      </x:c>
      <x:c r="D8" s="22" t="str">
        <x:v>01 · Tài liệu gốc</x:v>
      </x:c>
      <x:c r="E8" s="23" t="str">
        <x:v>.md</x:v>
      </x:c>
      <x:c r="F8" s="24" t="n">
        <x:v>4152</x:v>
      </x:c>
      <x:c r="G8" s="23" t="str">
        <x:v>64A63756</x:v>
      </x:c>
      <x:c r="H8" s="22" t="str">
        <x:v>Tiêu đề: 🟦 P2P 8.4.6-C — Claude Native Edition / Для кого</x:v>
      </x:c>
      <x:c r="I8" s="22" t="str">
        <x:v>Tài liệu giới thiệu P2P bằng tiếng Nga, đối tượng sử dụng và cách bắt đầu.</x:v>
      </x:c>
      <x:c r="J8" s="22" t="str">
        <x:v>Tài liệu &amp; truy vết</x:v>
      </x:c>
      <x:c r="K8" s="22" t="str">
        <x:v>Tài liệu phát hành/đối chiếu</x:v>
      </x:c>
      <x:c r="L8" s="22" t="str">
        <x:v>Không phát hiện cặp tương ứng rõ ràng.</x:v>
      </x:c>
      <x:c r="M8" s="22" t="str">
        <x:v>source/8.4.6-C/README.md</x:v>
      </x:c>
      <x:c r="N8" s="22" t="str">
        <x:v>Giữ nguyên byte trong source/8.4.6-C; bản Codex ghi đường dẫn nguồn và CRC.</x:v>
      </x:c>
      <x:c r="O8" s="22" t="str">
        <x:v>Tài liệu Codex</x:v>
      </x:c>
      <x:c r="P8" s="22" t="str">
        <x:v>BAT-DAU.md</x:v>
      </x:c>
      <x:c r="Q8" s="22" t="str">
        <x:v>KEEP_SOURCE + ADAPT_DOCS</x:v>
      </x:c>
      <x:c r="R8" s="22" t="str">
        <x:v>Cao · nội dung giữ được</x:v>
      </x:c>
      <x:c r="S8" s="22" t="str">
        <x:v>Không nạp runtime; người dùng/maintainer đọc khi cần</x:v>
      </x:c>
      <x:c r="T8" s="22" t="str">
        <x:v>8 · Tài liệu &amp; phát hành</x:v>
      </x:c>
      <x:c r="U8" s="22" t="str">
        <x:v>P1 · Cao</x:v>
      </x:c>
      <x:c r="V8" s="22" t="str">
        <x:v>Đã giữ nguồn và có bản thích nghi Codex</x:v>
      </x:c>
      <x:c r="W8" s="22" t="str">
        <x:v>CRC nguồn khớp ZIP; liên kết không hỏng; tiếng Nga/Việt/Anh hiển thị đúng; hướng dẫn Codex được người mới làm lại thành công.</x:v>
      </x:c>
      <x:c r="X8" s="22" t="str">
        <x:v>Không thấy rủi ro riêng ngoài yêu cầu parity và truy vết nguồn. Đích đề xuất ban đầu: docs/README.md. Đích thực tế trong gói: BAT-DAU.md. Bằng chứng: SOURCE_HASH_VERIFIED; ADAPTED_TARGET_PRESENT.</x:v>
      </x:c>
      <x:c r="Y8" s="22" t="str">
        <x:v>https://learn.chatgpt.com/docs/customization/overview</x:v>
      </x:c>
    </x:row>
    <x:row r="9" ht="68" customHeight="1">
      <x:c r="A9" s="23" t="n">
        <x:v>5</x:v>
      </x:c>
      <x:c r="B9" s="22" t="str">
        <x:v>8.4.6-C/docs/AGENTS_GUIDE.md</x:v>
      </x:c>
      <x:c r="C9" s="22" t="str">
        <x:v>AGENTS_GUIDE.md</x:v>
      </x:c>
      <x:c r="D9" s="22" t="str">
        <x:v>02 · Tài liệu hướng dẫn</x:v>
      </x:c>
      <x:c r="E9" s="23" t="str">
        <x:v>.md</x:v>
      </x:c>
      <x:c r="F9" s="24" t="n">
        <x:v>4837</x:v>
      </x:c>
      <x:c r="G9" s="23" t="str">
        <x:v>149B0B6D</x:v>
      </x:c>
      <x:c r="H9" s="22" t="str">
        <x:v>scope: 8 агентов QUORUM в редакции C: роли, запуск (нативные sub-agents в plugin-форме, симуляция в for-chat), паттерны, веса, VETO.; version: v8C.3; Tiêu đề: P2P 8C.3 — руководство по агентам (QUORUM) / Ростер</x:v>
      </x:c>
      <x:c r="I9" s="22" t="str">
        <x:v>Hướng dẫn 8 vai trò QUORUM, cách gọi, trọng số, phủ quyết và mẫu phối hợp.</x:v>
      </x:c>
      <x:c r="J9" s="22" t="str">
        <x:v>Tài liệu &amp; truy vết</x:v>
      </x:c>
      <x:c r="K9" s="22" t="str">
        <x:v>Tài liệu phát hành/đối chiếu</x:v>
      </x:c>
      <x:c r="L9" s="22" t="str">
        <x:v>Không phát hiện cặp tương ứng rõ ràng.</x:v>
      </x:c>
      <x:c r="M9" s="22" t="str">
        <x:v>source/8.4.6-C/docs/AGENTS_GUIDE.md</x:v>
      </x:c>
      <x:c r="N9" s="22" t="str">
        <x:v>Giữ nguyên byte trong source/8.4.6-C; bản Codex ghi đường dẫn nguồn và CRC.</x:v>
      </x:c>
      <x:c r="O9" s="22" t="str">
        <x:v>Tài liệu Codex</x:v>
      </x:c>
      <x:c r="P9" s="22" t="str">
        <x:v>docs/KIEN-TRUC.md</x:v>
      </x:c>
      <x:c r="Q9" s="22" t="str">
        <x:v>KEEP_SOURCE + ADAPT_DOCS</x:v>
      </x:c>
      <x:c r="R9" s="22" t="str">
        <x:v>Cao · nội dung giữ được</x:v>
      </x:c>
      <x:c r="S9" s="22" t="str">
        <x:v>Không nạp runtime; người dùng/maintainer đọc khi cần</x:v>
      </x:c>
      <x:c r="T9" s="22" t="str">
        <x:v>8 · Tài liệu &amp; phát hành</x:v>
      </x:c>
      <x:c r="U9" s="22" t="str">
        <x:v>P1 · Cao</x:v>
      </x:c>
      <x:c r="V9" s="22" t="str">
        <x:v>Đã giữ nguồn và có bản thích nghi Codex</x:v>
      </x:c>
      <x:c r="W9" s="22" t="str">
        <x:v>CRC nguồn khớp ZIP; liên kết không hỏng; tiếng Nga/Việt/Anh hiển thị đúng; hướng dẫn Codex được người mới làm lại thành công.</x:v>
      </x:c>
      <x:c r="X9" s="22" t="str">
        <x:v>Không thấy rủi ro riêng ngoài yêu cầu parity và truy vết nguồn. Đích đề xuất ban đầu: docs/AGENTS_GUIDE.md. Đích thực tế trong gói: docs/KIEN-TRUC.md. Bằng chứng: SOURCE_HASH_VERIFIED; ADAPTED_TARGET_PRESENT.</x:v>
      </x:c>
      <x:c r="Y9" s="22" t="str">
        <x:v>https://learn.chatgpt.com/docs/customization/overview</x:v>
      </x:c>
    </x:row>
    <x:row r="10" ht="68" customHeight="1">
      <x:c r="A10" s="23" t="n">
        <x:v>6</x:v>
      </x:c>
      <x:c r="B10" s="22" t="str">
        <x:v>8.4.6-C/docs/CREDITS_TECHNIQUES.md</x:v>
      </x:c>
      <x:c r="C10" s="22" t="str">
        <x:v>CREDITS_TECHNIQUES.md</x:v>
      </x:c>
      <x:c r="D10" s="22" t="str">
        <x:v>02 · Tài liệu hướng dẫn</x:v>
      </x:c>
      <x:c r="E10" s="23" t="str">
        <x:v>.md</x:v>
      </x:c>
      <x:c r="F10" s="24" t="n">
        <x:v>5204</x:v>
      </x:c>
      <x:c r="G10" s="23" t="str">
        <x:v>BA80EB3C</x:v>
      </x:c>
      <x:c r="H10" s="22" t="str">
        <x:v>Tiêu đề: CREDITS — источники техник промпт-инжиниринга (P2P v8*.4) / Внедрённые техники (copy-paste)</x:v>
      </x:c>
      <x:c r="I10" s="22" t="str">
        <x:v>Danh mục nguồn và kỹ thuật prompt-engineering đã được tác giả tích hợp.</x:v>
      </x:c>
      <x:c r="J10" s="22" t="str">
        <x:v>Tài liệu &amp; truy vết</x:v>
      </x:c>
      <x:c r="K10" s="22" t="str">
        <x:v>Tài liệu phát hành/đối chiếu</x:v>
      </x:c>
      <x:c r="L10" s="22" t="str">
        <x:v>Trùng byte với: 8.4.6-C/for-chat/docs/CREDITS_TECHNIQUES.md</x:v>
      </x:c>
      <x:c r="M10" s="22" t="str">
        <x:v>source/8.4.6-C/docs/CREDITS_TECHNIQUES.md</x:v>
      </x:c>
      <x:c r="N10" s="22" t="str">
        <x:v>Giữ cả các file gốc trong source snapshot; runtime chỉ kích hoạt một bản canonical để tránh nạp kép.</x:v>
      </x:c>
      <x:c r="O10" s="22" t="str">
        <x:v>Tài liệu Codex</x:v>
      </x:c>
      <x:c r="P10" s="22" t="str">
        <x:v>NOTICE.md</x:v>
      </x:c>
      <x:c r="Q10" s="22" t="str">
        <x:v>KEEP_SOURCE + ADAPT_DOCS</x:v>
      </x:c>
      <x:c r="R10" s="22" t="str">
        <x:v>Cao · nội dung giữ được</x:v>
      </x:c>
      <x:c r="S10" s="22" t="str">
        <x:v>Không nạp runtime; người dùng/maintainer đọc khi cần</x:v>
      </x:c>
      <x:c r="T10" s="22" t="str">
        <x:v>8 · Tài liệu &amp; phát hành</x:v>
      </x:c>
      <x:c r="U10" s="22" t="str">
        <x:v>P1 · Cao</x:v>
      </x:c>
      <x:c r="V10" s="22" t="str">
        <x:v>Đã giữ nguồn và có bản thích nghi Codex</x:v>
      </x:c>
      <x:c r="W10" s="22" t="str">
        <x:v>CRC nguồn khớp ZIP; liên kết không hỏng; tiếng Nga/Việt/Anh hiển thị đúng; hướng dẫn Codex được người mới làm lại thành công.</x:v>
      </x:c>
      <x:c r="X10" s="22" t="str">
        <x:v>Không thấy rủi ro riêng ngoài yêu cầu parity và truy vết nguồn. Đích đề xuất ban đầu: docs/CREDITS_TECHNIQUES.md. Đích thực tế trong gói: NOTICE.md. Bằng chứng: SOURCE_HASH_VERIFIED; ADAPTED_TARGET_PRESENT.</x:v>
      </x:c>
      <x:c r="Y10" s="22" t="str">
        <x:v>https://learn.chatgpt.com/docs/customization/overview</x:v>
      </x:c>
    </x:row>
    <x:row r="11" ht="68" customHeight="1">
      <x:c r="A11" s="23" t="n">
        <x:v>7</x:v>
      </x:c>
      <x:c r="B11" s="22" t="str">
        <x:v>8.4.6-C/docs/FAQ_И_ОШИБКИ.md</x:v>
      </x:c>
      <x:c r="C11" s="22" t="str">
        <x:v>FAQ_И_ОШИБКИ.md</x:v>
      </x:c>
      <x:c r="D11" s="22" t="str">
        <x:v>02 · Tài liệu hướng dẫn</x:v>
      </x:c>
      <x:c r="E11" s="23" t="str">
        <x:v>.md</x:v>
      </x:c>
      <x:c r="F11" s="24" t="n">
        <x:v>7168</x:v>
      </x:c>
      <x:c r="G11" s="23" t="str">
        <x:v>C0C22A90</x:v>
      </x:c>
      <x:c r="H11" s="22" t="str">
        <x:v>scope: FAQ и типовые ошибки редакции C: префикс команд, Code vs Cowork, YAML frontmatter, обновления, pxpipe.; version: v8C.3; Tiêu đề: P2P 8C.3 — FAQ и типовые ошибки / FAQ</x:v>
      </x:c>
      <x:c r="I11" s="22" t="str">
        <x:v>Câu hỏi thường gặp, lỗi phổ biến và cách xử lý cho bản Claude Native.</x:v>
      </x:c>
      <x:c r="J11" s="22" t="str">
        <x:v>Tài liệu &amp; truy vết</x:v>
      </x:c>
      <x:c r="K11" s="22" t="str">
        <x:v>Tài liệu phát hành/đối chiếu</x:v>
      </x:c>
      <x:c r="L11" s="22" t="str">
        <x:v>Không phát hiện cặp tương ứng rõ ràng.</x:v>
      </x:c>
      <x:c r="M11" s="22" t="str">
        <x:v>source/8.4.6-C/docs/FAQ_И_ОШИБКИ.md</x:v>
      </x:c>
      <x:c r="N11" s="22" t="str">
        <x:v>Giữ nguyên byte trong source/8.4.6-C; bản Codex ghi đường dẫn nguồn và CRC.</x:v>
      </x:c>
      <x:c r="O11" s="22" t="str">
        <x:v>Tài liệu Codex</x:v>
      </x:c>
      <x:c r="P11" s="22" t="str">
        <x:v>BAT-DAU.md</x:v>
      </x:c>
      <x:c r="Q11" s="22" t="str">
        <x:v>KEEP_SOURCE + ADAPT_DOCS</x:v>
      </x:c>
      <x:c r="R11" s="22" t="str">
        <x:v>Cao · nội dung giữ được</x:v>
      </x:c>
      <x:c r="S11" s="22" t="str">
        <x:v>Không nạp runtime; người dùng/maintainer đọc khi cần</x:v>
      </x:c>
      <x:c r="T11" s="22" t="str">
        <x:v>8 · Tài liệu &amp; phát hành</x:v>
      </x:c>
      <x:c r="U11" s="22" t="str">
        <x:v>P1 · Cao</x:v>
      </x:c>
      <x:c r="V11" s="22" t="str">
        <x:v>Đã giữ nguồn và có bản thích nghi Codex</x:v>
      </x:c>
      <x:c r="W11" s="22" t="str">
        <x:v>CRC nguồn khớp ZIP; liên kết không hỏng; tiếng Nga/Việt/Anh hiển thị đúng; hướng dẫn Codex được người mới làm lại thành công.</x:v>
      </x:c>
      <x:c r="X11" s="22" t="str">
        <x:v>Không thấy rủi ro riêng ngoài yêu cầu parity và truy vết nguồn. Đích đề xuất ban đầu: docs/FAQ-I-LOI.md. Đích thực tế trong gói: BAT-DAU.md. Bằng chứng: SOURCE_HASH_VERIFIED; ADAPTED_TARGET_PRESENT.</x:v>
      </x:c>
      <x:c r="Y11" s="22" t="str">
        <x:v>https://learn.chatgpt.com/docs/customization/overview</x:v>
      </x:c>
    </x:row>
    <x:row r="12" ht="68" customHeight="1">
      <x:c r="A12" s="23" t="n">
        <x:v>8</x:v>
      </x:c>
      <x:c r="B12" s="22" t="str">
        <x:v>8.4.6-C/docs/INSTALL_GUIDE.md</x:v>
      </x:c>
      <x:c r="C12" s="22" t="str">
        <x:v>INSTALL_GUIDE.md</x:v>
      </x:c>
      <x:c r="D12" s="22" t="str">
        <x:v>02 · Tài liệu hướng dẫn</x:v>
      </x:c>
      <x:c r="E12" s="23" t="str">
        <x:v>.md</x:v>
      </x:c>
      <x:c r="F12" s="24" t="n">
        <x:v>5174</x:v>
      </x:c>
      <x:c r="G12" s="23" t="str">
        <x:v>E1F1A1A7</x:v>
      </x:c>
      <x:c r="H12" s="22" t="str">
        <x:v>scope: Установка редакции C в обеих формах поставки: Claude.ai Chat/Projects (for-chat) и Claude Code/Cowork (plugin). Обновление, проверка, требования.; version: v8C.3; Tiêu đề: P2P 8C.3 — установка (обе формы поставки) / Требования</x:v>
      </x:c>
      <x:c r="I12" s="22" t="str">
        <x:v>Hướng dẫn cài đặt, cập nhật và kiểm tra các hình thức phân phối P2P.</x:v>
      </x:c>
      <x:c r="J12" s="22" t="str">
        <x:v>Tài liệu &amp; truy vết</x:v>
      </x:c>
      <x:c r="K12" s="22" t="str">
        <x:v>Tài liệu phát hành/đối chiếu</x:v>
      </x:c>
      <x:c r="L12" s="22" t="str">
        <x:v>Không phát hiện cặp tương ứng rõ ràng.</x:v>
      </x:c>
      <x:c r="M12" s="22" t="str">
        <x:v>source/8.4.6-C/docs/INSTALL_GUIDE.md</x:v>
      </x:c>
      <x:c r="N12" s="22" t="str">
        <x:v>Giữ nguyên byte trong source/8.4.6-C; bản Codex ghi đường dẫn nguồn và CRC.</x:v>
      </x:c>
      <x:c r="O12" s="22" t="str">
        <x:v>Tài liệu Codex</x:v>
      </x:c>
      <x:c r="P12" s="22" t="str">
        <x:v>BAT-DAU.md</x:v>
      </x:c>
      <x:c r="Q12" s="22" t="str">
        <x:v>KEEP_SOURCE + ADAPT_DOCS</x:v>
      </x:c>
      <x:c r="R12" s="22" t="str">
        <x:v>Cao · nội dung giữ được</x:v>
      </x:c>
      <x:c r="S12" s="22" t="str">
        <x:v>Không nạp runtime; người dùng/maintainer đọc khi cần</x:v>
      </x:c>
      <x:c r="T12" s="22" t="str">
        <x:v>8 · Tài liệu &amp; phát hành</x:v>
      </x:c>
      <x:c r="U12" s="22" t="str">
        <x:v>P1 · Cao</x:v>
      </x:c>
      <x:c r="V12" s="22" t="str">
        <x:v>Đã giữ nguồn và có bản thích nghi Codex</x:v>
      </x:c>
      <x:c r="W12" s="22" t="str">
        <x:v>CRC nguồn khớp ZIP; liên kết không hỏng; tiếng Nga/Việt/Anh hiển thị đúng; hướng dẫn Codex được người mới làm lại thành công.</x:v>
      </x:c>
      <x:c r="X12" s="22" t="str">
        <x:v>Không thấy rủi ro riêng ngoài yêu cầu parity và truy vết nguồn. Đích đề xuất ban đầu: docs/INSTALL_GUIDE.md. Đích thực tế trong gói: BAT-DAU.md. Bằng chứng: SOURCE_HASH_VERIFIED; ADAPTED_TARGET_PRESENT.</x:v>
      </x:c>
      <x:c r="Y12" s="22" t="str">
        <x:v>https://learn.chatgpt.com/docs/customization/overview</x:v>
      </x:c>
    </x:row>
    <x:row r="13" ht="68" customHeight="1">
      <x:c r="A13" s="23" t="n">
        <x:v>9</x:v>
      </x:c>
      <x:c r="B13" s="22" t="str">
        <x:v>8.4.6-C/docs/PXPIPE_GUIDE.md</x:v>
      </x:c>
      <x:c r="C13" s="22" t="str">
        <x:v>PXPIPE_GUIDE.md</x:v>
      </x:c>
      <x:c r="D13" s="22" t="str">
        <x:v>02 · Tài liệu hướng dẫn</x:v>
      </x:c>
      <x:c r="E13" s="23" t="str">
        <x:v>.md</x:v>
      </x:c>
      <x:c r="F13" s="24" t="n">
        <x:v>9276</x:v>
      </x:c>
      <x:c r="G13" s="23" t="str">
        <x:v>4B2DB6DC</x:v>
      </x:c>
      <x:c r="H13" s="22" t="str">
        <x:v>scope: Гайд пользователя по pxpipe в P2P 8.4.3-C — оптическое сжатие токенов: теория, установка, три слоя, замеры, ограничения.; version: 8.4.3-C; Tiêu đề: pxpipe в P2P 8.4.3-C — оптическая экономия токенов / Теория на пальцах</x:v>
      </x:c>
      <x:c r="I13" s="22" t="str">
        <x:v>Giải thích và hướng dẫn PXPIPE: nén ngữ cảnh dạng ảnh, đo lợi ích và giới hạn.</x:v>
      </x:c>
      <x:c r="J13" s="22" t="str">
        <x:v>Nén ngữ cảnh &amp; PXPIPE</x:v>
      </x:c>
      <x:c r="K13" s="22" t="str">
        <x:v>Tài liệu phát hành/đối chiếu</x:v>
      </x:c>
      <x:c r="L13" s="22" t="str">
        <x:v>Không phát hiện cặp tương ứng rõ ràng.</x:v>
      </x:c>
      <x:c r="M13" s="22" t="str">
        <x:v>source/8.4.6-C/docs/PXPIPE_GUIDE.md</x:v>
      </x:c>
      <x:c r="N13" s="22" t="str">
        <x:v>Giữ nguyên byte trong source/8.4.6-C; bản Codex ghi đường dẫn nguồn và CRC.</x:v>
      </x:c>
      <x:c r="O13" s="22" t="str">
        <x:v>Tài liệu Codex</x:v>
      </x:c>
      <x:c r="P13" s="22" t="str">
        <x:v>.agents/skills/pxpipe/VERIFICATION.md</x:v>
      </x:c>
      <x:c r="Q13" s="22" t="str">
        <x:v>KEEP_SOURCE + ADAPT_DOCS</x:v>
      </x:c>
      <x:c r="R13" s="22" t="str">
        <x:v>Cao · nội dung giữ được</x:v>
      </x:c>
      <x:c r="S13" s="22" t="str">
        <x:v>Không nạp runtime; người dùng/maintainer đọc khi cần</x:v>
      </x:c>
      <x:c r="T13" s="22" t="str">
        <x:v>8 · Tài liệu &amp; phát hành</x:v>
      </x:c>
      <x:c r="U13" s="22" t="str">
        <x:v>P1 · Cao</x:v>
      </x:c>
      <x:c r="V13" s="22" t="str">
        <x:v>Đã chuyển và kiểm tra cấu trúc</x:v>
      </x:c>
      <x:c r="W13" s="22" t="str">
        <x:v>CRC nguồn khớp ZIP; liên kết không hỏng; tiếng Nga/Việt/Anh hiển thị đúng; hướng dẫn Codex được người mới làm lại thành công.</x:v>
      </x:c>
      <x:c r="X13" s="22" t="str">
        <x:v>Không thấy rủi ro riêng ngoài yêu cầu parity và truy vết nguồn. Đích đề xuất ban đầu: docs/PXPIPE_GUIDE.md. Đích thực tế trong gói: .agents/skills/pxpipe/VERIFICATION.md. Bằng chứng: TARGET_PRESENT; SKILL_VALIDATOR_PASS.</x:v>
      </x:c>
      <x:c r="Y13" s="22" t="str">
        <x:v>https://learn.chatgpt.com/docs/customization/overview</x:v>
      </x:c>
    </x:row>
    <x:row r="14" ht="68" customHeight="1">
      <x:c r="A14" s="23" t="n">
        <x:v>10</x:v>
      </x:c>
      <x:c r="B14" s="22" t="str">
        <x:v>8.4.6-C/docs/README.md</x:v>
      </x:c>
      <x:c r="C14" s="22" t="str">
        <x:v>README.md</x:v>
      </x:c>
      <x:c r="D14" s="22" t="str">
        <x:v>02 · Tài liệu hướng dẫn</x:v>
      </x:c>
      <x:c r="E14" s="23" t="str">
        <x:v>.md</x:v>
      </x:c>
      <x:c r="F14" s="24" t="n">
        <x:v>3884</x:v>
      </x:c>
      <x:c r="G14" s="23" t="str">
        <x:v>DBB330B9</x:v>
      </x:c>
      <x:c r="H14" s="22" t="str">
        <x:v>scope: Навигатор по документации редакции C (Claude Native): какой файл о чём, какую форму поставки выбрать.; version: v8C.3; Tiêu đề: P2P 8C.3 (Claude Native) — документация / Две формы поставки (сначала выбери свою)</x:v>
      </x:c>
      <x:c r="I14" s="22" t="str">
        <x:v>Trang điều hướng tài liệu: file nào phục vụ mục đích nào.</x:v>
      </x:c>
      <x:c r="J14" s="22" t="str">
        <x:v>Tài liệu &amp; truy vết</x:v>
      </x:c>
      <x:c r="K14" s="22" t="str">
        <x:v>Tài liệu phát hành/đối chiếu</x:v>
      </x:c>
      <x:c r="L14" s="22" t="str">
        <x:v>Không phát hiện cặp tương ứng rõ ràng.</x:v>
      </x:c>
      <x:c r="M14" s="22" t="str">
        <x:v>source/8.4.6-C/docs/README.md</x:v>
      </x:c>
      <x:c r="N14" s="22" t="str">
        <x:v>Giữ nguyên byte trong source/8.4.6-C; bản Codex ghi đường dẫn nguồn và CRC.</x:v>
      </x:c>
      <x:c r="O14" s="22" t="str">
        <x:v>Tài liệu Codex</x:v>
      </x:c>
      <x:c r="P14" s="22" t="str">
        <x:v>BAT-DAU.md</x:v>
      </x:c>
      <x:c r="Q14" s="22" t="str">
        <x:v>KEEP_SOURCE + ADAPT_DOCS</x:v>
      </x:c>
      <x:c r="R14" s="22" t="str">
        <x:v>Cao · nội dung giữ được</x:v>
      </x:c>
      <x:c r="S14" s="22" t="str">
        <x:v>Không nạp runtime; người dùng/maintainer đọc khi cần</x:v>
      </x:c>
      <x:c r="T14" s="22" t="str">
        <x:v>8 · Tài liệu &amp; phát hành</x:v>
      </x:c>
      <x:c r="U14" s="22" t="str">
        <x:v>P1 · Cao</x:v>
      </x:c>
      <x:c r="V14" s="22" t="str">
        <x:v>Đã giữ nguồn và có bản thích nghi Codex</x:v>
      </x:c>
      <x:c r="W14" s="22" t="str">
        <x:v>CRC nguồn khớp ZIP; liên kết không hỏng; tiếng Nga/Việt/Anh hiển thị đúng; hướng dẫn Codex được người mới làm lại thành công.</x:v>
      </x:c>
      <x:c r="X14" s="22" t="str">
        <x:v>Không thấy rủi ro riêng ngoài yêu cầu parity và truy vết nguồn. Đích đề xuất ban đầu: docs/README.md. Đích thực tế trong gói: BAT-DAU.md. Bằng chứng: SOURCE_HASH_VERIFIED; ADAPTED_TARGET_PRESENT.</x:v>
      </x:c>
      <x:c r="Y14" s="22" t="str">
        <x:v>https://learn.chatgpt.com/docs/customization/overview</x:v>
      </x:c>
    </x:row>
    <x:row r="15" ht="68" customHeight="1">
      <x:c r="A15" s="23" t="n">
        <x:v>11</x:v>
      </x:c>
      <x:c r="B15" s="22" t="str">
        <x:v>8.4.6-C/for-chat/!!core_v8C.md</x:v>
      </x:c>
      <x:c r="C15" s="22" t="str">
        <x:v>!!core_v8C.md</x:v>
      </x:c>
      <x:c r="D15" s="22" t="str">
        <x:v>03 · for-chat: lõi/mô-đun</x:v>
      </x:c>
      <x:c r="E15" s="23" t="str">
        <x:v>.md</x:v>
      </x:c>
      <x:c r="F15" s="24" t="n">
        <x:v>38895</x:v>
      </x:c>
      <x:c r="G15" s="23" t="str">
        <x:v>4A83773A</x:v>
      </x:c>
      <x:c r="H15" s="22" t="str">
        <x:v>scope: Claude Edition core — XML-native, TRI_MODE_BRIDGE v3, 42-item menu (v8C.3 modules shown only if loaded), /p2p dispatcher boundary, SIR SCANNER v3.3, QUORUM_SIMULATED_PROTOCOL, CONFLICT_RESOLVER, CONSTRAINT_REINJECTION_PROTOCOL, DEEP_THINK_VALUE_GATE, ATLAS v2, teacher route. Always loaded.; version: 8.4.6-C; Tiêu đề: /lang HANDLER (output language switch) / Русский по умолчанию | Default: Russian</x:v>
      </x:c>
      <x:c r="I15" s="22" t="str">
        <x:v>Bộ điều phối trung tâm: nhận yêu cầu, phân tuyến chế độ, menu, kiểm soát ràng buộc và QUORUM.</x:v>
      </x:c>
      <x:c r="J15" s="22" t="str">
        <x:v>Lõi &amp; điều phối</x:v>
      </x:c>
      <x:c r="K15" s="22" t="str">
        <x:v>Bản triển khai độc lập cho Claude Chat/Projects</x:v>
      </x:c>
      <x:c r="L15" s="22" t="str">
        <x:v>Cùng chức năng/biến thể triển khai với: 8.4.6-C/plugin/.claude/skills/p2p/core.md</x:v>
      </x:c>
      <x:c r="M15" s="22" t="str">
        <x:v>source/8.4.6-C/for-chat/!!core_v8C.md</x:v>
      </x:c>
      <x:c r="N15" s="22" t="str">
        <x:v>Giữ cả các file gốc trong source snapshot; runtime chỉ kích hoạt một bản canonical để tránh nạp kép.</x:v>
      </x:c>
      <x:c r="O15" s="22" t="str">
        <x:v>Reference on-demand</x:v>
      </x:c>
      <x:c r="P15" s="22" t="str">
        <x:v>.agents/skills/p2p/references/legacy/core.md</x:v>
      </x:c>
      <x:c r="Q15" s="22" t="str">
        <x:v>KEEP_SOURCE + DEDUP_RUNTIME</x:v>
      </x:c>
      <x:c r="R15" s="22" t="str">
        <x:v>Không nạp riêng · dùng bản canonical</x:v>
      </x:c>
      <x:c r="S15" s="22" t="str">
        <x:v>Skill Codex chỉ đọc reference này khi nhiệm vụ cần; không preload toàn bộ</x:v>
      </x:c>
      <x:c r="T15" s="22" t="str">
        <x:v>0 · Bảo tồn &amp; đối chiếu</x:v>
      </x:c>
      <x:c r="U15" s="22" t="str">
        <x:v>P0 · Bảo tồn</x:v>
      </x:c>
      <x:c r="V15" s="22" t="str">
        <x:v>Đã giữ reference; nạp theo nhu cầu</x:v>
      </x:c>
      <x:c r="W15" s="22" t="str">
        <x:v>CRC nguồn khớp ZIP; chứng minh bản Codex canonical bao phủ cùng hành vi; không nạp kép.</x:v>
      </x:c>
      <x:c r="X15"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skills/p2p/references/core.md. Đích thực tế trong gói: .agents/skills/p2p/references/legacy/core.md. Bằng chứng: SOURCE_HASH_VERIFIED; TARGET_PRESENT; ON_DEMAND_LOAD.</x:v>
      </x:c>
      <x:c r="Y15" s="22" t="str">
        <x:v>https://learn.chatgpt.com/docs/build-skills</x:v>
      </x:c>
    </x:row>
    <x:row r="16" ht="68" customHeight="1">
      <x:c r="A16" s="23" t="n">
        <x:v>12</x:v>
      </x:c>
      <x:c r="B16" s="22" t="str">
        <x:v>8.4.6-C/for-chat/!!db_v8C.md</x:v>
      </x:c>
      <x:c r="C16" s="22" t="str">
        <x:v>!!db_v8C.md</x:v>
      </x:c>
      <x:c r="D16" s="22" t="str">
        <x:v>03 · for-chat: lõi/mô-đun</x:v>
      </x:c>
      <x:c r="E16" s="23" t="str">
        <x:v>.md</x:v>
      </x:c>
      <x:c r="F16" s="24" t="n">
        <x:v>62849</x:v>
      </x:c>
      <x:c r="G16" s="23" t="str">
        <x:v>3A1DE659</x:v>
      </x:c>
      <x:c r="H16" s="22" t="str">
        <x:v>scope: P2P knowledge base — G-errors G1-G20, Extended Thinking rules, Claude-specific patterns, Template Library A–M, QUORUM agent definitions, 9-step algorithm. Always loaded.; version: 8.4.6-C; Tiêu đề: P2P — БАЗА ЗНАНИЙ (!!db_v8C.md) / РАЗДЕЛ 1 — G-ERRORS CATALOG (G1–G20)</x:v>
      </x:c>
      <x:c r="I16" s="22" t="str">
        <x:v>Kho tri thức nền: lỗi G1–G20, mẫu prompt A–M, quy tắc suy luận và thuật toán 9 bước.</x:v>
      </x:c>
      <x:c r="J16" s="22" t="str">
        <x:v>Prompt engineering &amp; QC</x:v>
      </x:c>
      <x:c r="K16" s="22" t="str">
        <x:v>Bản triển khai độc lập cho Claude Chat/Projects</x:v>
      </x:c>
      <x:c r="L16" s="22" t="str">
        <x:v>Cùng chức năng/biến thể triển khai với: 8.4.6-C/plugin/.claude/skills/p2p/db.md</x:v>
      </x:c>
      <x:c r="M16" s="22" t="str">
        <x:v>source/8.4.6-C/for-chat/!!db_v8C.md</x:v>
      </x:c>
      <x:c r="N16" s="22" t="str">
        <x:v>Giữ cả các file gốc trong source snapshot; runtime chỉ kích hoạt một bản canonical để tránh nạp kép.</x:v>
      </x:c>
      <x:c r="O16" s="22" t="str">
        <x:v>Reference on-demand</x:v>
      </x:c>
      <x:c r="P16" s="22" t="str">
        <x:v>.agents/skills/p2p/references/legacy/db.md</x:v>
      </x:c>
      <x:c r="Q16" s="22" t="str">
        <x:v>KEEP_SOURCE + DEDUP_RUNTIME</x:v>
      </x:c>
      <x:c r="R16" s="22" t="str">
        <x:v>Không nạp riêng · dùng bản canonical</x:v>
      </x:c>
      <x:c r="S16" s="22" t="str">
        <x:v>Skill Codex chỉ đọc reference này khi nhiệm vụ cần; không preload toàn bộ</x:v>
      </x:c>
      <x:c r="T16" s="22" t="str">
        <x:v>0 · Bảo tồn &amp; đối chiếu</x:v>
      </x:c>
      <x:c r="U16" s="22" t="str">
        <x:v>P0 · Bảo tồn</x:v>
      </x:c>
      <x:c r="V16" s="22" t="str">
        <x:v>Đã giữ reference; nạp theo nhu cầu</x:v>
      </x:c>
      <x:c r="W16" s="22" t="str">
        <x:v>CRC nguồn khớp ZIP; chứng minh bản Codex canonical bao phủ cùng hành vi; không nạp kép.</x:v>
      </x:c>
      <x:c r="X16"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skills/p2p/references/db.md. Đích thực tế trong gói: .agents/skills/p2p/references/legacy/db.md. Bằng chứng: SOURCE_HASH_VERIFIED; TARGET_PRESENT; ON_DEMAND_LOAD.</x:v>
      </x:c>
      <x:c r="Y16" s="22" t="str">
        <x:v>https://learn.chatgpt.com/docs/build-skills</x:v>
      </x:c>
    </x:row>
    <x:row r="17" ht="68" customHeight="1">
      <x:c r="A17" s="23" t="n">
        <x:v>13</x:v>
      </x:c>
      <x:c r="B17" s="22" t="str">
        <x:v>8.4.6-C/for-chat/!agents.md</x:v>
      </x:c>
      <x:c r="C17" s="22" t="str">
        <x:v>!agents.md</x:v>
      </x:c>
      <x:c r="D17" s="22" t="str">
        <x:v>03 · for-chat: lõi/mô-đun</x:v>
      </x:c>
      <x:c r="E17" s="23" t="str">
        <x:v>.md</x:v>
      </x:c>
      <x:c r="F17" s="24" t="n">
        <x:v>17121</x:v>
      </x:c>
      <x:c r="G17" s="23" t="str">
        <x:v>3B2B2E33</x:v>
      </x:c>
      <x:c r="H17" s="22" t="str">
        <x:v>scope: Full agent profiles — IRIS, TECTON, AXIOM, VECTOR, DATOS, ANON, ARCHITECTON, HELIOS. QUORUM orchestration patterns, direct invocation, sub-QUORUM compositions.; version: 8.4.6-C; Tiêu đề: P2P — АГЕНТЫ (!agents.md) / IRIS — Исследователь и Картограф</x:v>
      </x:c>
      <x:c r="I17" s="22" t="str">
        <x:v>Mô tả đầy đủ 8 agent và các mẫu QUORUM/sub-QUORUM.</x:v>
      </x:c>
      <x:c r="J17" s="22" t="str">
        <x:v>QUORUM &amp; đa agent</x:v>
      </x:c>
      <x:c r="K17" s="22" t="str">
        <x:v>Bản triển khai độc lập cho Claude Chat/Projects</x:v>
      </x:c>
      <x:c r="L17" s="22" t="str">
        <x:v>Cùng chức năng/biến thể triển khai với: 8.4.6-C/plugin/.claude/skills/p2p/agents.md</x:v>
      </x:c>
      <x:c r="M17" s="22" t="str">
        <x:v>source/8.4.6-C/for-chat/!agents.md</x:v>
      </x:c>
      <x:c r="N17" s="22" t="str">
        <x:v>Giữ cả các file gốc trong source snapshot; runtime chỉ kích hoạt một bản canonical để tránh nạp kép.</x:v>
      </x:c>
      <x:c r="O17" s="22" t="str">
        <x:v>Reference on-demand</x:v>
      </x:c>
      <x:c r="P17" s="22" t="str">
        <x:v>.agents/skills/p2p/references/legacy/agents.md</x:v>
      </x:c>
      <x:c r="Q17" s="22" t="str">
        <x:v>KEEP_SOURCE + DEDUP_RUNTIME</x:v>
      </x:c>
      <x:c r="R17" s="22" t="str">
        <x:v>Không nạp riêng · dùng bản canonical</x:v>
      </x:c>
      <x:c r="S17" s="22" t="str">
        <x:v>Skill Codex chỉ đọc reference này khi nhiệm vụ cần; không preload toàn bộ</x:v>
      </x:c>
      <x:c r="T17" s="22" t="str">
        <x:v>0 · Bảo tồn &amp; đối chiếu</x:v>
      </x:c>
      <x:c r="U17" s="22" t="str">
        <x:v>P0 · Bảo tồn</x:v>
      </x:c>
      <x:c r="V17" s="22" t="str">
        <x:v>Đã giữ reference; nạp theo nhu cầu</x:v>
      </x:c>
      <x:c r="W17" s="22" t="str">
        <x:v>CRC nguồn khớp ZIP; chứng minh bản Codex canonical bao phủ cùng hành vi; không nạp kép.</x:v>
      </x:c>
      <x:c r="X17" s="22" t="str">
        <x:v>Đây là hình thức phân phối Claude Chat; giữ đủ nhưng không kích hoạt song song với nguồn plugin. Đích đề xuất ban đầu: skills/p2p/references/agents.md. Đích thực tế trong gói: .agents/skills/p2p/references/legacy/agents.md. Bằng chứng: SOURCE_HASH_VERIFIED; TARGET_PRESENT; ON_DEMAND_LOAD.</x:v>
      </x:c>
      <x:c r="Y17" s="22" t="str">
        <x:v>https://learn.chatgpt.com/docs/agent-configuration/subagents</x:v>
      </x:c>
    </x:row>
    <x:row r="18" ht="68" customHeight="1">
      <x:c r="A18" s="23" t="n">
        <x:v>14</x:v>
      </x:c>
      <x:c r="B18" s="22" t="str">
        <x:v>8.4.6-C/for-chat/!art.md</x:v>
      </x:c>
      <x:c r="C18" s="22" t="str">
        <x:v>!art.md</x:v>
      </x:c>
      <x:c r="D18" s="22" t="str">
        <x:v>03 · for-chat: lõi/mô-đun</x:v>
      </x:c>
      <x:c r="E18" s="23" t="str">
        <x:v>.md</x:v>
      </x:c>
      <x:c r="F18" s="24" t="n">
        <x:v>4631</x:v>
      </x:c>
      <x:c r="G18" s="23" t="str">
        <x:v>721C609B</x:v>
      </x:c>
      <x:c r="H18" s="22" t="str">
        <x:v>scope: ASCII-баннеры для ключевых режимов, меняющих механику взаимодействия (PILOT ×3, SHERPA, QUORUM, SCOPE.HELM, EXPLORATION). ON-DEMAND — кому не нужно, не загружает. Ноль налога на обычную работу.; version: 8.4.6-C; Tiêu đề: P2P — ART BANNERS (!art.md) / ПРАВИЛО ПОКАЗА</x:v>
      </x:c>
      <x:c r="I18" s="22" t="str">
        <x:v>Bộ banner chữ cho các chế độ P2P; chỉ hiển thị khi chế độ tương ứng được kích hoạt.</x:v>
      </x:c>
      <x:c r="J18" s="22" t="str">
        <x:v>Nội dung, media &amp; trình bày</x:v>
      </x:c>
      <x:c r="K18" s="22" t="str">
        <x:v>Bản triển khai độc lập cho Claude Chat/Projects</x:v>
      </x:c>
      <x:c r="L18" s="22" t="str">
        <x:v>Cùng chức năng/biến thể triển khai với: 8.4.6-C/plugin/.claude/skills/p2p/art.md</x:v>
      </x:c>
      <x:c r="M18" s="22" t="str">
        <x:v>source/8.4.6-C/for-chat/!art.md</x:v>
      </x:c>
      <x:c r="N18" s="22" t="str">
        <x:v>Giữ cả các file gốc trong source snapshot; runtime chỉ kích hoạt một bản canonical để tránh nạp kép.</x:v>
      </x:c>
      <x:c r="O18" s="22" t="str">
        <x:v>Reference on-demand</x:v>
      </x:c>
      <x:c r="P18" s="22" t="str">
        <x:v>.agents/skills/p2p/references/legacy/art.md</x:v>
      </x:c>
      <x:c r="Q18" s="22" t="str">
        <x:v>KEEP_SOURCE + DEDUP_RUNTIME</x:v>
      </x:c>
      <x:c r="R18" s="22" t="str">
        <x:v>Không nạp riêng · dùng bản canonical</x:v>
      </x:c>
      <x:c r="S18" s="22" t="str">
        <x:v>Skill Codex chỉ đọc reference này khi nhiệm vụ cần; không preload toàn bộ</x:v>
      </x:c>
      <x:c r="T18" s="22" t="str">
        <x:v>0 · Bảo tồn &amp; đối chiếu</x:v>
      </x:c>
      <x:c r="U18" s="22" t="str">
        <x:v>P0 · Bảo tồn</x:v>
      </x:c>
      <x:c r="V18" s="22" t="str">
        <x:v>Đã giữ reference; nạp theo nhu cầu</x:v>
      </x:c>
      <x:c r="W18" s="22" t="str">
        <x:v>CRC nguồn khớp ZIP; chứng minh bản Codex canonical bao phủ cùng hành vi; không nạp kép.</x:v>
      </x:c>
      <x:c r="X18" s="22" t="str">
        <x:v>Đây là hình thức phân phối Claude Chat; giữ đủ nhưng không kích hoạt song song với nguồn plugin. Đích đề xuất ban đầu: skills/p2p/references/art.md. Đích thực tế trong gói: .agents/skills/p2p/references/legacy/art.md. Bằng chứng: SOURCE_HASH_VERIFIED; TARGET_PRESENT; ON_DEMAND_LOAD.</x:v>
      </x:c>
      <x:c r="Y18" s="22" t="str">
        <x:v>https://learn.chatgpt.com/docs/build-skills</x:v>
      </x:c>
    </x:row>
    <x:row r="19" ht="68" customHeight="1">
      <x:c r="A19" s="23" t="n">
        <x:v>15</x:v>
      </x:c>
      <x:c r="B19" s="22" t="str">
        <x:v>8.4.6-C/for-chat/!compression.md</x:v>
      </x:c>
      <x:c r="C19" s="22" t="str">
        <x:v>!compression.md</x:v>
      </x:c>
      <x:c r="D19" s="22" t="str">
        <x:v>03 · for-chat: lõi/mô-đun</x:v>
      </x:c>
      <x:c r="E19" s="23" t="str">
        <x:v>.md</x:v>
      </x:c>
      <x:c r="F19" s="24" t="n">
        <x:v>7447</x:v>
      </x:c>
      <x:c r="G19" s="23" t="str">
        <x:v>9209AC10</x:v>
      </x:c>
      <x:c r="H19" s="22" t="str">
        <x:v>scope: Сжатие контекста для P2P — LLMLingua, Gist Tokens, Verbatim Deletion, Selective Summarization, Context Engineering. Загружается по триггеру или MODULE_COMPRESSION=true.; version: 8.4.6-C; Tiêu đề: P2P — COMPRESSION MODULE (!compression.md) / ТЕХНИКИ СЖАТИЯ (интегрированные)</x:v>
      </x:c>
      <x:c r="I19" s="22" t="str">
        <x:v>Kỹ thuật nén ngữ cảnh và tóm tắt chọn lọc nhằm giảm chi phí token.</x:v>
      </x:c>
      <x:c r="J19" s="22" t="str">
        <x:v>Nén ngữ cảnh &amp; PXPIPE</x:v>
      </x:c>
      <x:c r="K19" s="22" t="str">
        <x:v>Bản triển khai độc lập cho Claude Chat/Projects</x:v>
      </x:c>
      <x:c r="L19" s="22" t="str">
        <x:v>Cùng chức năng/biến thể triển khai với: 8.4.6-C/plugin/.claude/skills/p2p/compression.md</x:v>
      </x:c>
      <x:c r="M19" s="22" t="str">
        <x:v>source/8.4.6-C/for-chat/!compression.md</x:v>
      </x:c>
      <x:c r="N19" s="22" t="str">
        <x:v>Giữ cả các file gốc trong source snapshot; runtime chỉ kích hoạt một bản canonical để tránh nạp kép.</x:v>
      </x:c>
      <x:c r="O19" s="22" t="str">
        <x:v>Reference on-demand</x:v>
      </x:c>
      <x:c r="P19" s="22" t="str">
        <x:v>.agents/skills/p2p/references/legacy/compression.md</x:v>
      </x:c>
      <x:c r="Q19" s="22" t="str">
        <x:v>KEEP_SOURCE + DEDUP_RUNTIME</x:v>
      </x:c>
      <x:c r="R19" s="22" t="str">
        <x:v>Không nạp riêng · dùng bản canonical</x:v>
      </x:c>
      <x:c r="S19" s="22" t="str">
        <x:v>Skill Codex chỉ đọc reference này khi nhiệm vụ cần; không preload toàn bộ</x:v>
      </x:c>
      <x:c r="T19" s="22" t="str">
        <x:v>0 · Bảo tồn &amp; đối chiếu</x:v>
      </x:c>
      <x:c r="U19" s="22" t="str">
        <x:v>P0 · Bảo tồn</x:v>
      </x:c>
      <x:c r="V19" s="22" t="str">
        <x:v>Đã giữ reference; nạp theo nhu cầu</x:v>
      </x:c>
      <x:c r="W19" s="22" t="str">
        <x:v>CRC nguồn khớp ZIP; chứng minh bản Codex canonical bao phủ cùng hành vi; không nạp kép.</x:v>
      </x:c>
      <x:c r="X19" s="22" t="str">
        <x:v>Đây là hình thức phân phối Claude Chat; giữ đủ nhưng không kích hoạt song song với nguồn plugin. Đích đề xuất ban đầu: skills/p2p/references/compression.md. Đích thực tế trong gói: .agents/skills/p2p/references/legacy/compression.md. Bằng chứng: SOURCE_HASH_VERIFIED; TARGET_PRESENT; ON_DEMAND_LOAD.</x:v>
      </x:c>
      <x:c r="Y19" s="22" t="str">
        <x:v>https://learn.chatgpt.com/docs/build-skills</x:v>
      </x:c>
    </x:row>
    <x:row r="20" ht="68" customHeight="1">
      <x:c r="A20" s="23" t="n">
        <x:v>16</x:v>
      </x:c>
      <x:c r="B20" s="22" t="str">
        <x:v>8.4.6-C/for-chat/!contract.md</x:v>
      </x:c>
      <x:c r="C20" s="22" t="str">
        <x:v>!contract.md</x:v>
      </x:c>
      <x:c r="D20" s="22" t="str">
        <x:v>03 · for-chat: lõi/mô-đun</x:v>
      </x:c>
      <x:c r="E20" s="23" t="str">
        <x:v>.md</x:v>
      </x:c>
      <x:c r="F20" s="24" t="n">
        <x:v>17363</x:v>
      </x:c>
      <x:c r="G20" s="23" t="str">
        <x:v>8C6A1DE1</x:v>
      </x:c>
      <x:c r="H20" s="22" t="str">
        <x:v>scope: Contract Builder — 9-step algorithm full implementation, Translation Layer for 8 models, XML scaffold patterns, output validation.; version: 8.4.6-C; Tiêu đề: P2P — CONTRACT BUILDER (!contract.md) / CONTRACT BUILDER — 9-STEP WORKFLOW</x:v>
      </x:c>
      <x:c r="I20" s="22" t="str">
        <x:v>Contract Builder 9 bước: biến yêu cầu thành hợp đồng prompt, scaffold và kiểm tra đầu ra.</x:v>
      </x:c>
      <x:c r="J20" s="22" t="str">
        <x:v>Prompt engineering &amp; QC</x:v>
      </x:c>
      <x:c r="K20" s="22" t="str">
        <x:v>Bản triển khai độc lập cho Claude Chat/Projects</x:v>
      </x:c>
      <x:c r="L20" s="22" t="str">
        <x:v>Cùng chức năng/biến thể triển khai với: 8.4.6-C/plugin/.claude/skills/p2p/contract_builder.md</x:v>
      </x:c>
      <x:c r="M20" s="22" t="str">
        <x:v>source/8.4.6-C/for-chat/!contract.md</x:v>
      </x:c>
      <x:c r="N20" s="22" t="str">
        <x:v>Giữ cả các file gốc trong source snapshot; runtime chỉ kích hoạt một bản canonical để tránh nạp kép.</x:v>
      </x:c>
      <x:c r="O20" s="22" t="str">
        <x:v>Reference on-demand</x:v>
      </x:c>
      <x:c r="P20" s="22" t="str">
        <x:v>.agents/skills/p2p/references/legacy/contract_builder.md</x:v>
      </x:c>
      <x:c r="Q20" s="22" t="str">
        <x:v>KEEP_SOURCE + DEDUP_RUNTIME</x:v>
      </x:c>
      <x:c r="R20" s="22" t="str">
        <x:v>Không nạp riêng · dùng bản canonical</x:v>
      </x:c>
      <x:c r="S20" s="22" t="str">
        <x:v>Skill Codex chỉ đọc reference này khi nhiệm vụ cần; không preload toàn bộ</x:v>
      </x:c>
      <x:c r="T20" s="22" t="str">
        <x:v>0 · Bảo tồn &amp; đối chiếu</x:v>
      </x:c>
      <x:c r="U20" s="22" t="str">
        <x:v>P0 · Bảo tồn</x:v>
      </x:c>
      <x:c r="V20" s="22" t="str">
        <x:v>Đã giữ reference; nạp theo nhu cầu</x:v>
      </x:c>
      <x:c r="W20" s="22" t="str">
        <x:v>CRC nguồn khớp ZIP; chứng minh bản Codex canonical bao phủ cùng hành vi; không nạp kép.</x:v>
      </x:c>
      <x:c r="X20"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skills/p2p/references/contract_builder.md. Đích thực tế trong gói: .agents/skills/p2p/references/legacy/contract_builder.md. Bằng chứng: SOURCE_HASH_VERIFIED; TARGET_PRESENT; ON_DEMAND_LOAD.</x:v>
      </x:c>
      <x:c r="Y20" s="22" t="str">
        <x:v>https://learn.chatgpt.com/docs/build-skills</x:v>
      </x:c>
    </x:row>
    <x:row r="21" ht="68" customHeight="1">
      <x:c r="A21" s="23" t="n">
        <x:v>17</x:v>
      </x:c>
      <x:c r="B21" s="22" t="str">
        <x:v>8.4.6-C/for-chat/!debug.md</x:v>
      </x:c>
      <x:c r="C21" s="22" t="str">
        <x:v>!debug.md</x:v>
      </x:c>
      <x:c r="D21" s="22" t="str">
        <x:v>03 · for-chat: lõi/mô-đun</x:v>
      </x:c>
      <x:c r="E21" s="23" t="str">
        <x:v>.md</x:v>
      </x:c>
      <x:c r="F21" s="24" t="n">
        <x:v>12653</x:v>
      </x:c>
      <x:c r="G21" s="23" t="str">
        <x:v>C7A34587</x:v>
      </x:c>
      <x:c r="H21" s="22" t="str">
        <x:v>scope: Debug Engine — structured failure analysis, G-error diagnosis, prompt autopsy, iterative fix workflow.; version: 8.4.6-C; Tiêu đề: P2P — DEBUG ENGINE (!debug.md) / АЛГОРИТМ РАЗБОРА ПРОВАЛА</x:v>
      </x:c>
      <x:c r="I21" s="22" t="str">
        <x:v>Quy trình khám nghiệm prompt thất bại, chẩn đoán lỗi và sửa lặp có cấu trúc.</x:v>
      </x:c>
      <x:c r="J21" s="22" t="str">
        <x:v>Prompt engineering &amp; QC</x:v>
      </x:c>
      <x:c r="K21" s="22" t="str">
        <x:v>Bản triển khai độc lập cho Claude Chat/Projects</x:v>
      </x:c>
      <x:c r="L21" s="22" t="str">
        <x:v>Cùng chức năng/biến thể triển khai với: 8.4.6-C/plugin/.claude/skills/p2p/debug_engine.md</x:v>
      </x:c>
      <x:c r="M21" s="22" t="str">
        <x:v>source/8.4.6-C/for-chat/!debug.md</x:v>
      </x:c>
      <x:c r="N21" s="22" t="str">
        <x:v>Giữ cả các file gốc trong source snapshot; runtime chỉ kích hoạt một bản canonical để tránh nạp kép.</x:v>
      </x:c>
      <x:c r="O21" s="22" t="str">
        <x:v>Reference on-demand</x:v>
      </x:c>
      <x:c r="P21" s="22" t="str">
        <x:v>.agents/skills/p2p/references/legacy/debug_engine.md</x:v>
      </x:c>
      <x:c r="Q21" s="22" t="str">
        <x:v>KEEP_SOURCE + DEDUP_RUNTIME</x:v>
      </x:c>
      <x:c r="R21" s="22" t="str">
        <x:v>Không nạp riêng · dùng bản canonical</x:v>
      </x:c>
      <x:c r="S21" s="22" t="str">
        <x:v>Skill Codex chỉ đọc reference này khi nhiệm vụ cần; không preload toàn bộ</x:v>
      </x:c>
      <x:c r="T21" s="22" t="str">
        <x:v>0 · Bảo tồn &amp; đối chiếu</x:v>
      </x:c>
      <x:c r="U21" s="22" t="str">
        <x:v>P0 · Bảo tồn</x:v>
      </x:c>
      <x:c r="V21" s="22" t="str">
        <x:v>Đã giữ reference; nạp theo nhu cầu</x:v>
      </x:c>
      <x:c r="W21" s="22" t="str">
        <x:v>CRC nguồn khớp ZIP; chứng minh bản Codex canonical bao phủ cùng hành vi; không nạp kép.</x:v>
      </x:c>
      <x:c r="X21" s="22" t="str">
        <x:v>Đây là hình thức phân phối Claude Chat; giữ đủ nhưng không kích hoạt song song với nguồn plugin. Đích đề xuất ban đầu: skills/p2p/references/debug_engine.md. Đích thực tế trong gói: .agents/skills/p2p/references/legacy/debug_engine.md. Bằng chứng: SOURCE_HASH_VERIFIED; TARGET_PRESENT; ON_DEMAND_LOAD.</x:v>
      </x:c>
      <x:c r="Y21" s="22" t="str">
        <x:v>https://learn.chatgpt.com/docs/build-skills</x:v>
      </x:c>
    </x:row>
    <x:row r="22" ht="68" customHeight="1">
      <x:c r="A22" s="23" t="n">
        <x:v>18</x:v>
      </x:c>
      <x:c r="B22" s="22" t="str">
        <x:v>8.4.6-C/for-chat/!domain.md</x:v>
      </x:c>
      <x:c r="C22" s="22" t="str">
        <x:v>!domain.md</x:v>
      </x:c>
      <x:c r="D22" s="22" t="str">
        <x:v>03 · for-chat: lõi/mô-đun</x:v>
      </x:c>
      <x:c r="E22" s="23" t="str">
        <x:v>.md</x:v>
      </x:c>
      <x:c r="F22" s="24" t="n">
        <x:v>22090</x:v>
      </x:c>
      <x:c r="G22" s="23" t="str">
        <x:v>80B80BAF</x:v>
      </x:c>
      <x:c r="H22" s="22" t="str">
        <x:v>scope: Domain Knowledge — management protocol + built-in React 19 / TypeScript and Kotlin / Coroutines / KMP reference libraries (ported from v7C.2). Replaces separate !domain_react.md and !domain_kotlin.md.; version: 8.4.6-C; Tiêu đề: P2P — DOMAIN KNOWLEDGE (!domain.md) / ЗАЧЕМ DOMAIN KNOWLEDGE</x:v>
      </x:c>
      <x:c r="I22" s="22" t="str">
        <x:v>Khung quản trị tri thức miền cùng thư viện tham chiếu React/TypeScript và Kotlin/KMP.</x:v>
      </x:c>
      <x:c r="J22" s="22" t="str">
        <x:v>Ngữ cảnh người dùng &amp; miền</x:v>
      </x:c>
      <x:c r="K22" s="22" t="str">
        <x:v>Bản triển khai độc lập cho Claude Chat/Projects</x:v>
      </x:c>
      <x:c r="L22" s="22" t="str">
        <x:v>Cùng chức năng/biến thể triển khai với: 8.4.6-C/plugin/.claude/skills/p2p/domain_knowledge.md</x:v>
      </x:c>
      <x:c r="M22" s="22" t="str">
        <x:v>source/8.4.6-C/for-chat/!domain.md</x:v>
      </x:c>
      <x:c r="N22" s="22" t="str">
        <x:v>Giữ cả các file gốc trong source snapshot; runtime chỉ kích hoạt một bản canonical để tránh nạp kép.</x:v>
      </x:c>
      <x:c r="O22" s="22" t="str">
        <x:v>Reference on-demand</x:v>
      </x:c>
      <x:c r="P22" s="22" t="str">
        <x:v>.agents/skills/p2p/references/legacy/domain_knowledge.md</x:v>
      </x:c>
      <x:c r="Q22" s="22" t="str">
        <x:v>KEEP_SOURCE + DEDUP_RUNTIME</x:v>
      </x:c>
      <x:c r="R22" s="22" t="str">
        <x:v>Không nạp riêng · dùng bản canonical</x:v>
      </x:c>
      <x:c r="S22" s="22" t="str">
        <x:v>Skill Codex chỉ đọc reference này khi nhiệm vụ cần; không preload toàn bộ</x:v>
      </x:c>
      <x:c r="T22" s="22" t="str">
        <x:v>0 · Bảo tồn &amp; đối chiếu</x:v>
      </x:c>
      <x:c r="U22" s="22" t="str">
        <x:v>P0 · Bảo tồn</x:v>
      </x:c>
      <x:c r="V22" s="22" t="str">
        <x:v>Đã giữ reference; nạp theo nhu cầu</x:v>
      </x:c>
      <x:c r="W22" s="22" t="str">
        <x:v>CRC nguồn khớp ZIP; chứng minh bản Codex canonical bao phủ cùng hành vi; không nạp kép.</x:v>
      </x:c>
      <x:c r="X22" s="22" t="str">
        <x:v>Đây là hình thức phân phối Claude Chat; giữ đủ nhưng không kích hoạt song song với nguồn plugin. Đích đề xuất ban đầu: skills/p2p/references/domain_knowledge.md. Đích thực tế trong gói: .agents/skills/p2p/references/legacy/domain_knowledge.md. Bằng chứng: SOURCE_HASH_VERIFIED; TARGET_PRESENT; ON_DEMAND_LOAD.</x:v>
      </x:c>
      <x:c r="Y22" s="22" t="str">
        <x:v>https://learn.chatgpt.com/docs/build-skills</x:v>
      </x:c>
    </x:row>
    <x:row r="23" ht="68" customHeight="1">
      <x:c r="A23" s="23" t="n">
        <x:v>19</x:v>
      </x:c>
      <x:c r="B23" s="22" t="str">
        <x:v>8.4.6-C/for-chat/!exploration.md</x:v>
      </x:c>
      <x:c r="C23" s="22" t="str">
        <x:v>!exploration.md</x:v>
      </x:c>
      <x:c r="D23" s="22" t="str">
        <x:v>03 · for-chat: lõi/mô-đun</x:v>
      </x:c>
      <x:c r="E23" s="23" t="str">
        <x:v>.md</x:v>
      </x:c>
      <x:c r="F23" s="24" t="n">
        <x:v>9849</x:v>
      </x:c>
      <x:c r="G23" s="23" t="str">
        <x:v>0EFD9DD1</x:v>
      </x:c>
      <x:c r="H23" s="22" t="str">
        <x:v>scope: Exploration Mode (Cortex Patch A built-in) — divergent thinking, hypothesis generation, experimental approaches. Safe for brainstorming, not for production decisions without verification.; version: 8.4.6-C; Tiêu đề: P2P — EXPLORATION MODE (!exploration.md) / ЧТО ТАКОЕ EXPLORATION MODE</x:v>
      </x:c>
      <x:c r="I23" s="22" t="str">
        <x:v>Chế độ tư duy phân kỳ, tạo giả thuyết và hướng thử nghiệm; cần xác minh trước quyết định thật.</x:v>
      </x:c>
      <x:c r="J23" s="22" t="str">
        <x:v>RAG, reasoning &amp; tối ưu</x:v>
      </x:c>
      <x:c r="K23" s="22" t="str">
        <x:v>Bản triển khai độc lập cho Claude Chat/Projects</x:v>
      </x:c>
      <x:c r="L23" s="22" t="str">
        <x:v>Cùng chức năng/biến thể triển khai với: 8.4.6-C/plugin/.claude/skills/p2p/exploration_mode.md</x:v>
      </x:c>
      <x:c r="M23" s="22" t="str">
        <x:v>source/8.4.6-C/for-chat/!exploration.md</x:v>
      </x:c>
      <x:c r="N23" s="22" t="str">
        <x:v>Giữ cả các file gốc trong source snapshot; runtime chỉ kích hoạt một bản canonical để tránh nạp kép.</x:v>
      </x:c>
      <x:c r="O23" s="22" t="str">
        <x:v>Reference on-demand</x:v>
      </x:c>
      <x:c r="P23" s="22" t="str">
        <x:v>.agents/skills/p2p/references/legacy/exploration_mode.md</x:v>
      </x:c>
      <x:c r="Q23" s="22" t="str">
        <x:v>KEEP_SOURCE + DEDUP_RUNTIME</x:v>
      </x:c>
      <x:c r="R23" s="22" t="str">
        <x:v>Không nạp riêng · dùng bản canonical</x:v>
      </x:c>
      <x:c r="S23" s="22" t="str">
        <x:v>Skill Codex chỉ đọc reference này khi nhiệm vụ cần; không preload toàn bộ</x:v>
      </x:c>
      <x:c r="T23" s="22" t="str">
        <x:v>0 · Bảo tồn &amp; đối chiếu</x:v>
      </x:c>
      <x:c r="U23" s="22" t="str">
        <x:v>P0 · Bảo tồn</x:v>
      </x:c>
      <x:c r="V23" s="22" t="str">
        <x:v>Đã giữ reference; nạp theo nhu cầu</x:v>
      </x:c>
      <x:c r="W23" s="22" t="str">
        <x:v>CRC nguồn khớp ZIP; chứng minh bản Codex canonical bao phủ cùng hành vi; không nạp kép.</x:v>
      </x:c>
      <x:c r="X23" s="22" t="str">
        <x:v>Đây là hình thức phân phối Claude Chat; giữ đủ nhưng không kích hoạt song song với nguồn plugin. Đích đề xuất ban đầu: skills/p2p/references/exploration_mode.md. Đích thực tế trong gói: .agents/skills/p2p/references/legacy/exploration_mode.md. Bằng chứng: SOURCE_HASH_VERIFIED; TARGET_PRESENT; ON_DEMAND_LOAD.</x:v>
      </x:c>
      <x:c r="Y23" s="22" t="str">
        <x:v>https://learn.chatgpt.com/docs/build-skills</x:v>
      </x:c>
    </x:row>
    <x:row r="24" ht="68" customHeight="1">
      <x:c r="A24" s="23" t="n">
        <x:v>20</x:v>
      </x:c>
      <x:c r="B24" s="22" t="str">
        <x:v>8.4.6-C/for-chat/!intent.md</x:v>
      </x:c>
      <x:c r="C24" s="22" t="str">
        <x:v>!intent.md</x:v>
      </x:c>
      <x:c r="D24" s="22" t="str">
        <x:v>03 · for-chat: lõi/mô-đun</x:v>
      </x:c>
      <x:c r="E24" s="23" t="str">
        <x:v>.md</x:v>
      </x:c>
      <x:c r="F24" s="24" t="n">
        <x:v>13836</x:v>
      </x:c>
      <x:c r="G24" s="23" t="str">
        <x:v>AEC33E1A</x:v>
      </x:c>
      <x:c r="H24" s="22" t="str">
        <x:v>scope: Deep intent analysis, anti-pattern detection, tool routing — port of v7C.2 !intent_engine.md adapted to v8C.3.; version: 8.4.6-C; Tiêu đề: !intent.md — INTENT ENGINE (port from v7C.2) / §1. 9D INTENT EXTRACTION</x:v>
      </x:c>
      <x:c r="I24" s="22" t="str">
        <x:v>Phân tích ý định sâu, phát hiện anti-pattern và chọn tuyến công cụ/chiến lược.</x:v>
      </x:c>
      <x:c r="J24" s="22" t="str">
        <x:v>Prompt engineering &amp; QC</x:v>
      </x:c>
      <x:c r="K24" s="22" t="str">
        <x:v>Bản triển khai độc lập cho Claude Chat/Projects</x:v>
      </x:c>
      <x:c r="L24" s="22" t="str">
        <x:v>Cùng chức năng/biến thể triển khai với: 8.4.6-C/plugin/.claude/skills/p2p/intent_engine.md</x:v>
      </x:c>
      <x:c r="M24" s="22" t="str">
        <x:v>source/8.4.6-C/for-chat/!intent.md</x:v>
      </x:c>
      <x:c r="N24" s="22" t="str">
        <x:v>Giữ cả các file gốc trong source snapshot; runtime chỉ kích hoạt một bản canonical để tránh nạp kép.</x:v>
      </x:c>
      <x:c r="O24" s="22" t="str">
        <x:v>Reference on-demand</x:v>
      </x:c>
      <x:c r="P24" s="22" t="str">
        <x:v>.agents/skills/p2p/references/legacy/intent_engine.md</x:v>
      </x:c>
      <x:c r="Q24" s="22" t="str">
        <x:v>KEEP_SOURCE + DEDUP_RUNTIME</x:v>
      </x:c>
      <x:c r="R24" s="22" t="str">
        <x:v>Không nạp riêng · dùng bản canonical</x:v>
      </x:c>
      <x:c r="S24" s="22" t="str">
        <x:v>Skill Codex chỉ đọc reference này khi nhiệm vụ cần; không preload toàn bộ</x:v>
      </x:c>
      <x:c r="T24" s="22" t="str">
        <x:v>0 · Bảo tồn &amp; đối chiếu</x:v>
      </x:c>
      <x:c r="U24" s="22" t="str">
        <x:v>P0 · Bảo tồn</x:v>
      </x:c>
      <x:c r="V24" s="22" t="str">
        <x:v>Đã giữ reference; nạp theo nhu cầu</x:v>
      </x:c>
      <x:c r="W24" s="22" t="str">
        <x:v>CRC nguồn khớp ZIP; chứng minh bản Codex canonical bao phủ cùng hành vi; không nạp kép.</x:v>
      </x:c>
      <x:c r="X24" s="22" t="str">
        <x:v>Đây là hình thức phân phối Claude Chat; giữ đủ nhưng không kích hoạt song song với nguồn plugin. Đích đề xuất ban đầu: skills/p2p/references/intent_engine.md. Đích thực tế trong gói: .agents/skills/p2p/references/legacy/intent_engine.md. Bằng chứng: SOURCE_HASH_VERIFIED; TARGET_PRESENT; ON_DEMAND_LOAD.</x:v>
      </x:c>
      <x:c r="Y24" s="22" t="str">
        <x:v>https://learn.chatgpt.com/docs/build-skills</x:v>
      </x:c>
    </x:row>
    <x:row r="25" ht="68" customHeight="1">
      <x:c r="A25" s="23" t="n">
        <x:v>21</x:v>
      </x:c>
      <x:c r="B25" s="22" t="str">
        <x:v>8.4.6-C/for-chat/!memory.md</x:v>
      </x:c>
      <x:c r="C25" s="22" t="str">
        <x:v>!memory.md</x:v>
      </x:c>
      <x:c r="D25" s="22" t="str">
        <x:v>03 · for-chat: lõi/mô-đun</x:v>
      </x:c>
      <x:c r="E25" s="23" t="str">
        <x:v>.md</x:v>
      </x:c>
      <x:c r="F25" s="24" t="n">
        <x:v>10411</x:v>
      </x:c>
      <x:c r="G25" s="23" t="str">
        <x:v>7AAE320E</x:v>
      </x:c>
      <x:c r="H25" s="22" t="str">
        <x:v>scope: Memory Bridge — CAPSULE protocol, cross-session state persistence, context compression for long sessions.; version: 8.4.6-C; Tiêu đề: P2P — MEMORY BRIDGE (!memory.md) / ПРОБЛЕМА ПАМЯТИ LLM</x:v>
      </x:c>
      <x:c r="I25" s="22" t="str">
        <x:v>CAPSULE và cầu nối ngữ cảnh để lưu, nén và khôi phục trạng thái qua phiên.</x:v>
      </x:c>
      <x:c r="J25" s="22" t="str">
        <x:v>Trạng thái, scope &amp; đo lường</x:v>
      </x:c>
      <x:c r="K25" s="22" t="str">
        <x:v>Bản triển khai độc lập cho Claude Chat/Projects</x:v>
      </x:c>
      <x:c r="L25" s="22" t="str">
        <x:v>Cùng chức năng/biến thể triển khai với: 8.4.6-C/plugin/.claude/skills/p2p/memory_bridge.md</x:v>
      </x:c>
      <x:c r="M25" s="22" t="str">
        <x:v>source/8.4.6-C/for-chat/!memory.md</x:v>
      </x:c>
      <x:c r="N25" s="22" t="str">
        <x:v>Giữ cả các file gốc trong source snapshot; runtime chỉ kích hoạt một bản canonical để tránh nạp kép.</x:v>
      </x:c>
      <x:c r="O25" s="22" t="str">
        <x:v>Reference on-demand</x:v>
      </x:c>
      <x:c r="P25" s="22" t="str">
        <x:v>.agents/skills/p2p/references/legacy/memory_bridge.md</x:v>
      </x:c>
      <x:c r="Q25" s="22" t="str">
        <x:v>KEEP_SOURCE + DEDUP_RUNTIME</x:v>
      </x:c>
      <x:c r="R25" s="22" t="str">
        <x:v>Không nạp riêng · dùng bản canonical</x:v>
      </x:c>
      <x:c r="S25" s="22" t="str">
        <x:v>Skill Codex chỉ đọc reference này khi nhiệm vụ cần; không preload toàn bộ</x:v>
      </x:c>
      <x:c r="T25" s="22" t="str">
        <x:v>0 · Bảo tồn &amp; đối chiếu</x:v>
      </x:c>
      <x:c r="U25" s="22" t="str">
        <x:v>P0 · Bảo tồn</x:v>
      </x:c>
      <x:c r="V25" s="22" t="str">
        <x:v>Đã giữ reference; nạp theo nhu cầu</x:v>
      </x:c>
      <x:c r="W25" s="22" t="str">
        <x:v>CRC nguồn khớp ZIP; chứng minh bản Codex canonical bao phủ cùng hành vi; không nạp kép.</x:v>
      </x:c>
      <x:c r="X25" s="22" t="str">
        <x:v>Đây là hình thức phân phối Claude Chat; giữ đủ nhưng không kích hoạt song song với nguồn plugin. Không hứa lưu bền qua phiên nếu chưa có storage/connector; cần nêu rõ phạm vi bộ nhớ. Đích đề xuất ban đầu: skills/p2p/references/memory_bridge.md. Đích thực tế trong gói: .agents/skills/p2p/references/legacy/memory_bridge.md. Bằng chứng: SOURCE_HASH_VERIFIED; TARGET_PRESENT; ON_DEMAND_LOAD.</x:v>
      </x:c>
      <x:c r="Y25" s="22" t="str">
        <x:v>https://learn.chatgpt.com/docs/build-skills</x:v>
      </x:c>
    </x:row>
    <x:row r="26" ht="68" customHeight="1">
      <x:c r="A26" s="23" t="n">
        <x:v>22</x:v>
      </x:c>
      <x:c r="B26" s="22" t="str">
        <x:v>8.4.6-C/for-chat/!mentor.md</x:v>
      </x:c>
      <x:c r="C26" s="22" t="str">
        <x:v>!mentor.md</x:v>
      </x:c>
      <x:c r="D26" s="22" t="str">
        <x:v>03 · for-chat: lõi/mô-đun</x:v>
      </x:c>
      <x:c r="E26" s="23" t="str">
        <x:v>.md</x:v>
      </x:c>
      <x:c r="F26" s="24" t="n">
        <x:v>13779</x:v>
      </x:c>
      <x:c r="G26" s="23" t="str">
        <x:v>6CF69964</x:v>
      </x:c>
      <x:c r="H26" s="22" t="str">
        <x:v>scope: Mentor Method — adaptive teaching, Socratic dialogue, knowledge assessment, progressive disclosure, 3 stages, showcases, minimal start, implementation checklist, navigator.; version: 8.4.6-C; Tiêu đề: P2P — MENTOR METHOD (!mentor.md) / MENTOR MODE ACTIVATION</x:v>
      </x:c>
      <x:c r="I26" s="22" t="str">
        <x:v>Phương pháp hướng dẫn thích ứng, đối thoại Socrates và tiết lộ kiến thức theo từng bước.</x:v>
      </x:c>
      <x:c r="J26" s="22" t="str">
        <x:v>Đào tạo &amp; hướng dẫn</x:v>
      </x:c>
      <x:c r="K26" s="22" t="str">
        <x:v>Bản triển khai độc lập cho Claude Chat/Projects</x:v>
      </x:c>
      <x:c r="L26" s="22" t="str">
        <x:v>Cùng chức năng/biến thể triển khai với: 8.4.6-C/plugin/.claude/skills/p2p/mentor_method.md</x:v>
      </x:c>
      <x:c r="M26" s="22" t="str">
        <x:v>source/8.4.6-C/for-chat/!mentor.md</x:v>
      </x:c>
      <x:c r="N26" s="22" t="str">
        <x:v>Giữ cả các file gốc trong source snapshot; runtime chỉ kích hoạt một bản canonical để tránh nạp kép.</x:v>
      </x:c>
      <x:c r="O26" s="22" t="str">
        <x:v>Reference on-demand</x:v>
      </x:c>
      <x:c r="P26" s="22" t="str">
        <x:v>.agents/skills/p2p/references/legacy/mentor_method.md</x:v>
      </x:c>
      <x:c r="Q26" s="22" t="str">
        <x:v>KEEP_SOURCE + DEDUP_RUNTIME</x:v>
      </x:c>
      <x:c r="R26" s="22" t="str">
        <x:v>Không nạp riêng · dùng bản canonical</x:v>
      </x:c>
      <x:c r="S26" s="22" t="str">
        <x:v>Skill Codex chỉ đọc reference này khi nhiệm vụ cần; không preload toàn bộ</x:v>
      </x:c>
      <x:c r="T26" s="22" t="str">
        <x:v>0 · Bảo tồn &amp; đối chiếu</x:v>
      </x:c>
      <x:c r="U26" s="22" t="str">
        <x:v>P0 · Bảo tồn</x:v>
      </x:c>
      <x:c r="V26" s="22" t="str">
        <x:v>Đã giữ reference; nạp theo nhu cầu</x:v>
      </x:c>
      <x:c r="W26" s="22" t="str">
        <x:v>CRC nguồn khớp ZIP; chứng minh bản Codex canonical bao phủ cùng hành vi; không nạp kép.</x:v>
      </x:c>
      <x:c r="X26" s="22" t="str">
        <x:v>Đây là hình thức phân phối Claude Chat; giữ đủ nhưng không kích hoạt song song với nguồn plugin. Đích đề xuất ban đầu: skills/p2p/references/mentor_method.md. Đích thực tế trong gói: .agents/skills/p2p/references/legacy/mentor_method.md. Bằng chứng: SOURCE_HASH_VERIFIED; TARGET_PRESENT; ON_DEMAND_LOAD.</x:v>
      </x:c>
      <x:c r="Y26" s="22" t="str">
        <x:v>https://learn.chatgpt.com/docs/build-skills</x:v>
      </x:c>
    </x:row>
    <x:row r="27" ht="68" customHeight="1">
      <x:c r="A27" s="23" t="n">
        <x:v>23</x:v>
      </x:c>
      <x:c r="B27" s="22" t="str">
        <x:v>8.4.6-C/for-chat/!metrics.md</x:v>
      </x:c>
      <x:c r="C27" s="22" t="str">
        <x:v>!metrics.md</x:v>
      </x:c>
      <x:c r="D27" s="22" t="str">
        <x:v>03 · for-chat: lõi/mô-đun</x:v>
      </x:c>
      <x:c r="E27" s="23" t="str">
        <x:v>.md</x:v>
      </x:c>
      <x:c r="F27" s="24" t="n">
        <x:v>11019</x:v>
      </x:c>
      <x:c r="G27" s="23" t="str">
        <x:v>5D97B386</x:v>
      </x:c>
      <x:c r="H27" s="22" t="str">
        <x:v>scope: Session Metrics v0.2 — efficiency formula, routing memory tracking, quality scoring, performance dashboard.; version: 8.4.6-C; Tiêu đề: P2P — SESSION METRICS v0.2 (!metrics.md) / TRACKING FIELDS</x:v>
      </x:c>
      <x:c r="I27" s="22" t="str">
        <x:v>Theo dõi hiệu quả phiên, chất lượng, lịch sử định tuyến và bảng chỉ số.</x:v>
      </x:c>
      <x:c r="J27" s="22" t="str">
        <x:v>Trạng thái, scope &amp; đo lường</x:v>
      </x:c>
      <x:c r="K27" s="22" t="str">
        <x:v>Bản triển khai độc lập cho Claude Chat/Projects</x:v>
      </x:c>
      <x:c r="L27" s="22" t="str">
        <x:v>Cùng chức năng/biến thể triển khai với: 8.4.6-C/plugin/.claude/skills/p2p/session_metrics.md</x:v>
      </x:c>
      <x:c r="M27" s="22" t="str">
        <x:v>source/8.4.6-C/for-chat/!metrics.md</x:v>
      </x:c>
      <x:c r="N27" s="22" t="str">
        <x:v>Giữ cả các file gốc trong source snapshot; runtime chỉ kích hoạt một bản canonical để tránh nạp kép.</x:v>
      </x:c>
      <x:c r="O27" s="22" t="str">
        <x:v>Reference on-demand</x:v>
      </x:c>
      <x:c r="P27" s="22" t="str">
        <x:v>.agents/skills/p2p/references/legacy/session_metrics.md</x:v>
      </x:c>
      <x:c r="Q27" s="22" t="str">
        <x:v>KEEP_SOURCE + DEDUP_RUNTIME</x:v>
      </x:c>
      <x:c r="R27" s="22" t="str">
        <x:v>Không nạp riêng · dùng bản canonical</x:v>
      </x:c>
      <x:c r="S27" s="22" t="str">
        <x:v>Skill Codex chỉ đọc reference này khi nhiệm vụ cần; không preload toàn bộ</x:v>
      </x:c>
      <x:c r="T27" s="22" t="str">
        <x:v>0 · Bảo tồn &amp; đối chiếu</x:v>
      </x:c>
      <x:c r="U27" s="22" t="str">
        <x:v>P0 · Bảo tồn</x:v>
      </x:c>
      <x:c r="V27" s="22" t="str">
        <x:v>Đã giữ reference; nạp theo nhu cầu</x:v>
      </x:c>
      <x:c r="W27" s="22" t="str">
        <x:v>CRC nguồn khớp ZIP; chứng minh bản Codex canonical bao phủ cùng hành vi; không nạp kép.</x:v>
      </x:c>
      <x:c r="X27" s="22" t="str">
        <x:v>Đây là hình thức phân phối Claude Chat; giữ đủ nhưng không kích hoạt song song với nguồn plugin. Không hứa lưu bền qua phiên nếu chưa có storage/connector; cần nêu rõ phạm vi bộ nhớ. Đích đề xuất ban đầu: skills/p2p/references/session_metrics.md. Đích thực tế trong gói: .agents/skills/p2p/references/legacy/session_metrics.md. Bằng chứng: SOURCE_HASH_VERIFIED; TARGET_PRESENT; ON_DEMAND_LOAD.</x:v>
      </x:c>
      <x:c r="Y27" s="22" t="str">
        <x:v>https://learn.chatgpt.com/docs/build-skills</x:v>
      </x:c>
    </x:row>
    <x:row r="28" ht="68" customHeight="1">
      <x:c r="A28" s="23" t="n">
        <x:v>24</x:v>
      </x:c>
      <x:c r="B28" s="22" t="str">
        <x:v>8.4.6-C/for-chat/!optimization.md</x:v>
      </x:c>
      <x:c r="C28" s="22" t="str">
        <x:v>!optimization.md</x:v>
      </x:c>
      <x:c r="D28" s="22" t="str">
        <x:v>03 · for-chat: lõi/mô-đun</x:v>
      </x:c>
      <x:c r="E28" s="23" t="str">
        <x:v>.md</x:v>
      </x:c>
      <x:c r="F28" s="24" t="n">
        <x:v>9435</x:v>
      </x:c>
      <x:c r="G28" s="23" t="str">
        <x:v>CFBC20C0</x:v>
      </x:c>
      <x:c r="H28" s="22" t="str">
        <x:v>scope: Автоматическая оптимизация промптов для P2P — APO, OPRO, EvoPrompt, GEPA, MASPO, итеративное улучшение. Загружается по триггеру или MODULE_OPTIMIZATION=true.; version: 8.4.6-C; Tiêu đề: P2P — OPTIMIZATION MODULE (!optimization.md) / ТЕХНИКИ ОПТИМИЗАЦИИ (интегрированные)</x:v>
      </x:c>
      <x:c r="I28" s="22" t="str">
        <x:v>Các vòng tối ưu prompt tự động và tiến hóa như APO, OPRO, EvoPrompt, GEPA, MASPO.</x:v>
      </x:c>
      <x:c r="J28" s="22" t="str">
        <x:v>RAG, reasoning &amp; tối ưu</x:v>
      </x:c>
      <x:c r="K28" s="22" t="str">
        <x:v>Bản triển khai độc lập cho Claude Chat/Projects</x:v>
      </x:c>
      <x:c r="L28" s="22" t="str">
        <x:v>Cùng chức năng/biến thể triển khai với: 8.4.6-C/plugin/.claude/skills/p2p/optimization.md</x:v>
      </x:c>
      <x:c r="M28" s="22" t="str">
        <x:v>source/8.4.6-C/for-chat/!optimization.md</x:v>
      </x:c>
      <x:c r="N28" s="22" t="str">
        <x:v>Giữ cả các file gốc trong source snapshot; runtime chỉ kích hoạt một bản canonical để tránh nạp kép.</x:v>
      </x:c>
      <x:c r="O28" s="22" t="str">
        <x:v>Reference on-demand</x:v>
      </x:c>
      <x:c r="P28" s="22" t="str">
        <x:v>.agents/skills/p2p/references/legacy/optimization.md</x:v>
      </x:c>
      <x:c r="Q28" s="22" t="str">
        <x:v>KEEP_SOURCE + DEDUP_RUNTIME</x:v>
      </x:c>
      <x:c r="R28" s="22" t="str">
        <x:v>Không nạp riêng · dùng bản canonical</x:v>
      </x:c>
      <x:c r="S28" s="22" t="str">
        <x:v>Skill Codex chỉ đọc reference này khi nhiệm vụ cần; không preload toàn bộ</x:v>
      </x:c>
      <x:c r="T28" s="22" t="str">
        <x:v>0 · Bảo tồn &amp; đối chiếu</x:v>
      </x:c>
      <x:c r="U28" s="22" t="str">
        <x:v>P0 · Bảo tồn</x:v>
      </x:c>
      <x:c r="V28" s="22" t="str">
        <x:v>Đã giữ reference; nạp theo nhu cầu</x:v>
      </x:c>
      <x:c r="W28" s="22" t="str">
        <x:v>CRC nguồn khớp ZIP; chứng minh bản Codex canonical bao phủ cùng hành vi; không nạp kép.</x:v>
      </x:c>
      <x:c r="X28" s="22" t="str">
        <x:v>Đây là hình thức phân phối Claude Chat; giữ đủ nhưng không kích hoạt song song với nguồn plugin. Đích đề xuất ban đầu: skills/p2p/references/optimization.md. Đích thực tế trong gói: .agents/skills/p2p/references/legacy/optimization.md. Bằng chứng: SOURCE_HASH_VERIFIED; TARGET_PRESENT; ON_DEMAND_LOAD.</x:v>
      </x:c>
      <x:c r="Y28" s="22" t="str">
        <x:v>https://learn.chatgpt.com/docs/build-skills</x:v>
      </x:c>
    </x:row>
    <x:row r="29" ht="68" customHeight="1">
      <x:c r="A29" s="23" t="n">
        <x:v>25</x:v>
      </x:c>
      <x:c r="B29" s="22" t="str">
        <x:v>8.4.6-C/for-chat/!rag.md</x:v>
      </x:c>
      <x:c r="C29" s="22" t="str">
        <x:v>!rag.md</x:v>
      </x:c>
      <x:c r="D29" s="22" t="str">
        <x:v>03 · for-chat: lõi/mô-đun</x:v>
      </x:c>
      <x:c r="E29" s="23" t="str">
        <x:v>.md</x:v>
      </x:c>
      <x:c r="F29" s="24" t="n">
        <x:v>5995</x:v>
      </x:c>
      <x:c r="G29" s="23" t="str">
        <x:v>D53BBC30</x:v>
      </x:c>
      <x:c r="H29" s="22" t="str">
        <x:v>scope: RAG техники для P2P — RAPTOR, векторный поиск, адаптивный ретривал. Загружается по триггеру или MODULE_RAG=true.; version: 8.4.6-C; Tiêu đề: P2P — RAG MODULE (!rag.md) / ТЕХНИКИ RAG (интегрированные)</x:v>
      </x:c>
      <x:c r="I29" s="22" t="str">
        <x:v>Kỹ thuật RAG: truy hồi thích ứng, tìm kiếm vector, RAPTOR và grounding.</x:v>
      </x:c>
      <x:c r="J29" s="22" t="str">
        <x:v>RAG, reasoning &amp; tối ưu</x:v>
      </x:c>
      <x:c r="K29" s="22" t="str">
        <x:v>Bản triển khai độc lập cho Claude Chat/Projects</x:v>
      </x:c>
      <x:c r="L29" s="22" t="str">
        <x:v>Cùng chức năng/biến thể triển khai với: 8.4.6-C/plugin/.claude/skills/p2p/rag.md</x:v>
      </x:c>
      <x:c r="M29" s="22" t="str">
        <x:v>source/8.4.6-C/for-chat/!rag.md</x:v>
      </x:c>
      <x:c r="N29" s="22" t="str">
        <x:v>Giữ cả các file gốc trong source snapshot; runtime chỉ kích hoạt một bản canonical để tránh nạp kép.</x:v>
      </x:c>
      <x:c r="O29" s="22" t="str">
        <x:v>Reference on-demand</x:v>
      </x:c>
      <x:c r="P29" s="22" t="str">
        <x:v>.agents/skills/p2p/references/legacy/rag.md</x:v>
      </x:c>
      <x:c r="Q29" s="22" t="str">
        <x:v>KEEP_SOURCE + DEDUP_RUNTIME</x:v>
      </x:c>
      <x:c r="R29" s="22" t="str">
        <x:v>Không nạp riêng · dùng bản canonical</x:v>
      </x:c>
      <x:c r="S29" s="22" t="str">
        <x:v>Skill Codex chỉ đọc reference này khi nhiệm vụ cần; không preload toàn bộ</x:v>
      </x:c>
      <x:c r="T29" s="22" t="str">
        <x:v>0 · Bảo tồn &amp; đối chiếu</x:v>
      </x:c>
      <x:c r="U29" s="22" t="str">
        <x:v>P0 · Bảo tồn</x:v>
      </x:c>
      <x:c r="V29" s="22" t="str">
        <x:v>Đã giữ reference; nạp theo nhu cầu</x:v>
      </x:c>
      <x:c r="W29" s="22" t="str">
        <x:v>CRC nguồn khớp ZIP; chứng minh bản Codex canonical bao phủ cùng hành vi; không nạp kép.</x:v>
      </x:c>
      <x:c r="X29" s="22" t="str">
        <x:v>Đây là hình thức phân phối Claude Chat; giữ đủ nhưng không kích hoạt song song với nguồn plugin. Đích đề xuất ban đầu: skills/p2p/references/rag.md. Đích thực tế trong gói: .agents/skills/p2p/references/legacy/rag.md. Bằng chứng: SOURCE_HASH_VERIFIED; TARGET_PRESENT; ON_DEMAND_LOAD.</x:v>
      </x:c>
      <x:c r="Y29" s="22" t="str">
        <x:v>https://learn.chatgpt.com/docs/build-skills</x:v>
      </x:c>
    </x:row>
    <x:row r="30" ht="68" customHeight="1">
      <x:c r="A30" s="23" t="n">
        <x:v>26</x:v>
      </x:c>
      <x:c r="B30" s="22" t="str">
        <x:v>8.4.6-C/for-chat/!reasoning.md</x:v>
      </x:c>
      <x:c r="C30" s="22" t="str">
        <x:v>!reasoning.md</x:v>
      </x:c>
      <x:c r="D30" s="22" t="str">
        <x:v>03 · for-chat: lõi/mô-đun</x:v>
      </x:c>
      <x:c r="E30" s="23" t="str">
        <x:v>.md</x:v>
      </x:c>
      <x:c r="F30" s="24" t="n">
        <x:v>7345</x:v>
      </x:c>
      <x:c r="G30" s="23" t="str">
        <x:v>60367A7B</x:v>
      </x:c>
      <x:c r="H30" s="22" t="str">
        <x:v>scope: Расширенные техники reasoning для P2P — TTS, Self-Consistency, MCTS, rStar-Math, критические цепочки, Context-Grounding CoT. Загружается по триггеру или MODULE_REASONING=true.; version: 8.4.6-C; Tiêu đề: P2P — REASONING MODULE (!reasoning.md) / ТЕХНИКИ REASONING (интегрированные)</x:v>
      </x:c>
      <x:c r="I30" s="22" t="str">
        <x:v>Bộ kỹ thuật reasoning nâng cao, tự nhất quán, tìm kiếm cây và chuỗi phê bình.</x:v>
      </x:c>
      <x:c r="J30" s="22" t="str">
        <x:v>RAG, reasoning &amp; tối ưu</x:v>
      </x:c>
      <x:c r="K30" s="22" t="str">
        <x:v>Bản triển khai độc lập cho Claude Chat/Projects</x:v>
      </x:c>
      <x:c r="L30" s="22" t="str">
        <x:v>Cùng chức năng/biến thể triển khai với: 8.4.6-C/plugin/.claude/skills/p2p/reasoning.md</x:v>
      </x:c>
      <x:c r="M30" s="22" t="str">
        <x:v>source/8.4.6-C/for-chat/!reasoning.md</x:v>
      </x:c>
      <x:c r="N30" s="22" t="str">
        <x:v>Giữ cả các file gốc trong source snapshot; runtime chỉ kích hoạt một bản canonical để tránh nạp kép.</x:v>
      </x:c>
      <x:c r="O30" s="22" t="str">
        <x:v>Reference on-demand</x:v>
      </x:c>
      <x:c r="P30" s="22" t="str">
        <x:v>.agents/skills/p2p/references/legacy/reasoning.md</x:v>
      </x:c>
      <x:c r="Q30" s="22" t="str">
        <x:v>KEEP_SOURCE + DEDUP_RUNTIME</x:v>
      </x:c>
      <x:c r="R30" s="22" t="str">
        <x:v>Không nạp riêng · dùng bản canonical</x:v>
      </x:c>
      <x:c r="S30" s="22" t="str">
        <x:v>Skill Codex chỉ đọc reference này khi nhiệm vụ cần; không preload toàn bộ</x:v>
      </x:c>
      <x:c r="T30" s="22" t="str">
        <x:v>0 · Bảo tồn &amp; đối chiếu</x:v>
      </x:c>
      <x:c r="U30" s="22" t="str">
        <x:v>P0 · Bảo tồn</x:v>
      </x:c>
      <x:c r="V30" s="22" t="str">
        <x:v>Đã giữ reference; nạp theo nhu cầu</x:v>
      </x:c>
      <x:c r="W30" s="22" t="str">
        <x:v>CRC nguồn khớp ZIP; chứng minh bản Codex canonical bao phủ cùng hành vi; không nạp kép.</x:v>
      </x:c>
      <x:c r="X30" s="22" t="str">
        <x:v>Đây là hình thức phân phối Claude Chat; giữ đủ nhưng không kích hoạt song song với nguồn plugin. Đích đề xuất ban đầu: skills/p2p/references/reasoning.md. Đích thực tế trong gói: .agents/skills/p2p/references/legacy/reasoning.md. Bằng chứng: SOURCE_HASH_VERIFIED; TARGET_PRESENT; ON_DEMAND_LOAD.</x:v>
      </x:c>
      <x:c r="Y30" s="22" t="str">
        <x:v>https://learn.chatgpt.com/docs/build-skills</x:v>
      </x:c>
    </x:row>
    <x:row r="31" ht="68" customHeight="1">
      <x:c r="A31" s="23" t="n">
        <x:v>27</x:v>
      </x:c>
      <x:c r="B31" s="22" t="str">
        <x:v>8.4.6-C/for-chat/!routing.md</x:v>
      </x:c>
      <x:c r="C31" s="22" t="str">
        <x:v>!routing.md</x:v>
      </x:c>
      <x:c r="D31" s="22" t="str">
        <x:v>03 · for-chat: lõi/mô-đun</x:v>
      </x:c>
      <x:c r="E31" s="23" t="str">
        <x:v>.md</x:v>
      </x:c>
      <x:c r="F31" s="24" t="n">
        <x:v>6816</x:v>
      </x:c>
      <x:c r="G31" s="23" t="str">
        <x:v>435A1FC9</x:v>
      </x:c>
      <x:c r="H31" s="22" t="str">
        <x:v>scope: Умная маршрутизация по задаче — выбор оптимальной модели, cost-aware routing, cascade routing. Загружается по триггеру или MODULE_ROUTING=true.; version: 8.4.6-C; Tiêu đề: P2P — ROUTING MODULE (!routing.md) / ТЕХНИКИ ROUTING (интегрированные)</x:v>
      </x:c>
      <x:c r="I31" s="22" t="str">
        <x:v>Chọn mô hình/tuyến xử lý theo loại việc, chất lượng, chi phí và fallback.</x:v>
      </x:c>
      <x:c r="J31" s="22" t="str">
        <x:v>RAG, reasoning &amp; tối ưu</x:v>
      </x:c>
      <x:c r="K31" s="22" t="str">
        <x:v>Bản triển khai độc lập cho Claude Chat/Projects</x:v>
      </x:c>
      <x:c r="L31" s="22" t="str">
        <x:v>Cùng chức năng/biến thể triển khai với: 8.4.6-C/plugin/.claude/skills/p2p/routing.md</x:v>
      </x:c>
      <x:c r="M31" s="22" t="str">
        <x:v>source/8.4.6-C/for-chat/!routing.md</x:v>
      </x:c>
      <x:c r="N31" s="22" t="str">
        <x:v>Giữ cả các file gốc trong source snapshot; runtime chỉ kích hoạt một bản canonical để tránh nạp kép.</x:v>
      </x:c>
      <x:c r="O31" s="22" t="str">
        <x:v>Reference on-demand</x:v>
      </x:c>
      <x:c r="P31" s="22" t="str">
        <x:v>.agents/skills/p2p/references/legacy/routing.md</x:v>
      </x:c>
      <x:c r="Q31" s="22" t="str">
        <x:v>KEEP_SOURCE + DEDUP_RUNTIME</x:v>
      </x:c>
      <x:c r="R31" s="22" t="str">
        <x:v>Không nạp riêng · dùng bản canonical</x:v>
      </x:c>
      <x:c r="S31" s="22" t="str">
        <x:v>Skill Codex chỉ đọc reference này khi nhiệm vụ cần; không preload toàn bộ</x:v>
      </x:c>
      <x:c r="T31" s="22" t="str">
        <x:v>0 · Bảo tồn &amp; đối chiếu</x:v>
      </x:c>
      <x:c r="U31" s="22" t="str">
        <x:v>P0 · Bảo tồn</x:v>
      </x:c>
      <x:c r="V31" s="22" t="str">
        <x:v>Đã giữ reference; nạp theo nhu cầu</x:v>
      </x:c>
      <x:c r="W31" s="22" t="str">
        <x:v>CRC nguồn khớp ZIP; chứng minh bản Codex canonical bao phủ cùng hành vi; không nạp kép.</x:v>
      </x:c>
      <x:c r="X31"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skills/p2p/references/routing.md. Đích thực tế trong gói: .agents/skills/p2p/references/legacy/routing.md. Bằng chứng: SOURCE_HASH_VERIFIED; TARGET_PRESENT; ON_DEMAND_LOAD.</x:v>
      </x:c>
      <x:c r="Y31" s="22" t="str">
        <x:v>https://learn.chatgpt.com/docs/extend/mcp</x:v>
      </x:c>
    </x:row>
    <x:row r="32" ht="68" customHeight="1">
      <x:c r="A32" s="23" t="n">
        <x:v>28</x:v>
      </x:c>
      <x:c r="B32" s="22" t="str">
        <x:v>8.4.6-C/for-chat/!sandbox.md</x:v>
      </x:c>
      <x:c r="C32" s="22" t="str">
        <x:v>!sandbox.md</x:v>
      </x:c>
      <x:c r="D32" s="22" t="str">
        <x:v>03 · for-chat: lõi/mô-đun</x:v>
      </x:c>
      <x:c r="E32" s="23" t="str">
        <x:v>.md</x:v>
      </x:c>
      <x:c r="F32" s="24" t="n">
        <x:v>5345</x:v>
      </x:c>
      <x:c r="G32" s="23" t="str">
        <x:v>5E4E4FAC</x:v>
      </x:c>
      <x:c r="H32" s="22" t="str">
        <x:v>version: 8.4.6-C; Tiêu đề: !sandbox.md — User Editable Sandbox (v8C.3) / SANDBOX BLOCK (edit this, leave the rest alone)</x:v>
      </x:c>
      <x:c r="I32" s="22" t="str">
        <x:v>Khối cấu hình người dùng được phép chỉnh riêng mà không làm hỏng phần lõi.</x:v>
      </x:c>
      <x:c r="J32" s="22" t="str">
        <x:v>An toàn &amp; quyền kiểm soát</x:v>
      </x:c>
      <x:c r="K32" s="22" t="str">
        <x:v>Bản triển khai độc lập cho Claude Chat/Projects</x:v>
      </x:c>
      <x:c r="L32" s="22" t="str">
        <x:v>Cùng chức năng/biến thể triển khai với: 8.4.6-C/plugin/.claude/skills/p2p/sandbox_user.md</x:v>
      </x:c>
      <x:c r="M32" s="22" t="str">
        <x:v>source/8.4.6-C/for-chat/!sandbox.md</x:v>
      </x:c>
      <x:c r="N32" s="22" t="str">
        <x:v>Giữ cả các file gốc trong source snapshot; runtime chỉ kích hoạt một bản canonical để tránh nạp kép.</x:v>
      </x:c>
      <x:c r="O32" s="22" t="str">
        <x:v>Reference on-demand</x:v>
      </x:c>
      <x:c r="P32" s="22" t="str">
        <x:v>.agents/skills/p2p/references/legacy/sandbox_user.md</x:v>
      </x:c>
      <x:c r="Q32" s="22" t="str">
        <x:v>KEEP_SOURCE + DEDUP_RUNTIME</x:v>
      </x:c>
      <x:c r="R32" s="22" t="str">
        <x:v>Không nạp riêng · dùng bản canonical</x:v>
      </x:c>
      <x:c r="S32" s="22" t="str">
        <x:v>Skill Codex chỉ đọc reference này khi nhiệm vụ cần; không preload toàn bộ</x:v>
      </x:c>
      <x:c r="T32" s="22" t="str">
        <x:v>0 · Bảo tồn &amp; đối chiếu</x:v>
      </x:c>
      <x:c r="U32" s="22" t="str">
        <x:v>P0 · Bảo tồn</x:v>
      </x:c>
      <x:c r="V32" s="22" t="str">
        <x:v>Đã giữ reference; nạp theo nhu cầu</x:v>
      </x:c>
      <x:c r="W32" s="22" t="str">
        <x:v>CRC nguồn khớp ZIP; chứng minh bản Codex canonical bao phủ cùng hành vi; không nạp kép.</x:v>
      </x:c>
      <x:c r="X32" s="22" t="str">
        <x:v>Đây là hình thức phân phối Claude Chat; giữ đủ nhưng không kích hoạt song song với nguồn plugin. Đích đề xuất ban đầu: skills/p2p/references/sandbox_user.md. Đích thực tế trong gói: .agents/skills/p2p/references/legacy/sandbox_user.md. Bằng chứng: SOURCE_HASH_VERIFIED; TARGET_PRESENT; ON_DEMAND_LOAD.</x:v>
      </x:c>
      <x:c r="Y32" s="22" t="str">
        <x:v>https://learn.chatgpt.com/docs/build-skills</x:v>
      </x:c>
    </x:row>
    <x:row r="33" ht="68" customHeight="1">
      <x:c r="A33" s="23" t="n">
        <x:v>29</x:v>
      </x:c>
      <x:c r="B33" s="22" t="str">
        <x:v>8.4.6-C/for-chat/!scope.md</x:v>
      </x:c>
      <x:c r="C33" s="22" t="str">
        <x:v>!scope.md</x:v>
      </x:c>
      <x:c r="D33" s="22" t="str">
        <x:v>03 · for-chat: lõi/mô-đun</x:v>
      </x:c>
      <x:c r="E33" s="23" t="str">
        <x:v>.md</x:v>
      </x:c>
      <x:c r="F33" s="24" t="n">
        <x:v>14864</x:v>
      </x:c>
      <x:c r="G33" s="23" t="str">
        <x:v>08FC5D6C</x:v>
      </x:c>
      <x:c r="H33" s="22" t="str">
        <x:v>scope: SCOPE.HELM v1.2 — SPLITTER, CAPSULE, ROUTER for large multi-step tasks. Environment-aware behavior (Code/API/Projects/Chat). GUARDIAN protocol.; version: 8.4.6-C; Tiêu đề: P2P — SCOPE.HELM v1.2 (!scope.md) / SCOPE.HELM — ДЛЯ БОЛЬШИХ ЗАДАЧ</x:v>
      </x:c>
      <x:c r="I33" s="22" t="str">
        <x:v>SCOPE.HELM: chia nhỏ việc lớn, tạo capsule, định tuyến và bảo vệ ràng buộc.</x:v>
      </x:c>
      <x:c r="J33" s="22" t="str">
        <x:v>Trạng thái, scope &amp; đo lường</x:v>
      </x:c>
      <x:c r="K33" s="22" t="str">
        <x:v>Bản triển khai độc lập cho Claude Chat/Projects</x:v>
      </x:c>
      <x:c r="L33" s="22" t="str">
        <x:v>Cùng chức năng/biến thể triển khai với: 8.4.6-C/plugin/.claude/skills/p2p/scope_helm.md</x:v>
      </x:c>
      <x:c r="M33" s="22" t="str">
        <x:v>source/8.4.6-C/for-chat/!scope.md</x:v>
      </x:c>
      <x:c r="N33" s="22" t="str">
        <x:v>Giữ cả các file gốc trong source snapshot; runtime chỉ kích hoạt một bản canonical để tránh nạp kép.</x:v>
      </x:c>
      <x:c r="O33" s="22" t="str">
        <x:v>Reference on-demand</x:v>
      </x:c>
      <x:c r="P33" s="22" t="str">
        <x:v>.agents/skills/p2p/references/legacy/scope_helm.md</x:v>
      </x:c>
      <x:c r="Q33" s="22" t="str">
        <x:v>KEEP_SOURCE + DEDUP_RUNTIME</x:v>
      </x:c>
      <x:c r="R33" s="22" t="str">
        <x:v>Không nạp riêng · dùng bản canonical</x:v>
      </x:c>
      <x:c r="S33" s="22" t="str">
        <x:v>Skill Codex chỉ đọc reference này khi nhiệm vụ cần; không preload toàn bộ</x:v>
      </x:c>
      <x:c r="T33" s="22" t="str">
        <x:v>0 · Bảo tồn &amp; đối chiếu</x:v>
      </x:c>
      <x:c r="U33" s="22" t="str">
        <x:v>P0 · Bảo tồn</x:v>
      </x:c>
      <x:c r="V33" s="22" t="str">
        <x:v>Đã giữ reference; nạp theo nhu cầu</x:v>
      </x:c>
      <x:c r="W33" s="22" t="str">
        <x:v>CRC nguồn khớp ZIP; chứng minh bản Codex canonical bao phủ cùng hành vi; không nạp kép.</x:v>
      </x:c>
      <x:c r="X33" s="22" t="str">
        <x:v>Đây là hình thức phân phối Claude Chat; giữ đủ nhưng không kích hoạt song song với nguồn plugin. Đích đề xuất ban đầu: skills/p2p/references/scope_helm.md. Đích thực tế trong gói: .agents/skills/p2p/references/legacy/scope_helm.md. Bằng chứng: SOURCE_HASH_VERIFIED; TARGET_PRESENT; ON_DEMAND_LOAD.</x:v>
      </x:c>
      <x:c r="Y33" s="22" t="str">
        <x:v>https://learn.chatgpt.com/docs/build-skills</x:v>
      </x:c>
    </x:row>
    <x:row r="34" ht="68" customHeight="1">
      <x:c r="A34" s="23" t="n">
        <x:v>30</x:v>
      </x:c>
      <x:c r="B34" s="22" t="str">
        <x:v>8.4.6-C/for-chat/!security.md</x:v>
      </x:c>
      <x:c r="C34" s="22" t="str">
        <x:v>!security.md</x:v>
      </x:c>
      <x:c r="D34" s="22" t="str">
        <x:v>03 · for-chat: lõi/mô-đun</x:v>
      </x:c>
      <x:c r="E34" s="23" t="str">
        <x:v>.md</x:v>
      </x:c>
      <x:c r="F34" s="24" t="n">
        <x:v>6340</x:v>
      </x:c>
      <x:c r="G34" s="23" t="str">
        <x:v>884BCA2C</x:v>
      </x:c>
      <x:c r="H34" s="22" t="str">
        <x:v>scope: Аудит и защита промптов для P2P v8C.3 — обнаружение prompt injection, adversarial inputs, jailbreak patterns, hardening. Загружается по триггеру или MODULE_SECURITY=true.; version: 8.4.6-C; Tiêu đề: P2P — SECURITY MODULE (!security.md) / ТЕХНИКИ БЕЗОПАСНОСТИ (интегрированные)</x:v>
      </x:c>
      <x:c r="I34" s="22" t="str">
        <x:v>Phát hiện prompt injection, đầu vào đối kháng, jailbreak và gia cố prompt.</x:v>
      </x:c>
      <x:c r="J34" s="22" t="str">
        <x:v>An toàn &amp; quyền kiểm soát</x:v>
      </x:c>
      <x:c r="K34" s="22" t="str">
        <x:v>Bản triển khai độc lập cho Claude Chat/Projects</x:v>
      </x:c>
      <x:c r="L34" s="22" t="str">
        <x:v>Cùng chức năng/biến thể triển khai với: 8.4.6-C/plugin/.claude/skills/p2p/security.md</x:v>
      </x:c>
      <x:c r="M34" s="22" t="str">
        <x:v>source/8.4.6-C/for-chat/!security.md</x:v>
      </x:c>
      <x:c r="N34" s="22" t="str">
        <x:v>Giữ cả các file gốc trong source snapshot; runtime chỉ kích hoạt một bản canonical để tránh nạp kép.</x:v>
      </x:c>
      <x:c r="O34" s="22" t="str">
        <x:v>Reference on-demand</x:v>
      </x:c>
      <x:c r="P34" s="22" t="str">
        <x:v>.agents/skills/p2p/references/legacy/security.md</x:v>
      </x:c>
      <x:c r="Q34" s="22" t="str">
        <x:v>KEEP_SOURCE + DEDUP_RUNTIME</x:v>
      </x:c>
      <x:c r="R34" s="22" t="str">
        <x:v>Không nạp riêng · dùng bản canonical</x:v>
      </x:c>
      <x:c r="S34" s="22" t="str">
        <x:v>Skill Codex chỉ đọc reference này khi nhiệm vụ cần; không preload toàn bộ</x:v>
      </x:c>
      <x:c r="T34" s="22" t="str">
        <x:v>0 · Bảo tồn &amp; đối chiếu</x:v>
      </x:c>
      <x:c r="U34" s="22" t="str">
        <x:v>P0 · Bảo tồn</x:v>
      </x:c>
      <x:c r="V34" s="22" t="str">
        <x:v>Đã giữ reference; nạp theo nhu cầu</x:v>
      </x:c>
      <x:c r="W34" s="22" t="str">
        <x:v>CRC nguồn khớp ZIP; chứng minh bản Codex canonical bao phủ cùng hành vi; không nạp kép.</x:v>
      </x:c>
      <x:c r="X34" s="22" t="str">
        <x:v>Đây là hình thức phân phối Claude Chat; giữ đủ nhưng không kích hoạt song song với nguồn plugin. Đích đề xuất ban đầu: skills/p2p/references/security.md. Đích thực tế trong gói: .agents/skills/p2p/references/legacy/security.md. Bằng chứng: SOURCE_HASH_VERIFIED; TARGET_PRESENT; ON_DEMAND_LOAD.</x:v>
      </x:c>
      <x:c r="Y34" s="22" t="str">
        <x:v>https://learn.chatgpt.com/docs/build-skills</x:v>
      </x:c>
    </x:row>
    <x:row r="35" ht="68" customHeight="1">
      <x:c r="A35" s="23" t="n">
        <x:v>31</x:v>
      </x:c>
      <x:c r="B35" s="22" t="str">
        <x:v>8.4.6-C/for-chat/!skills.md</x:v>
      </x:c>
      <x:c r="C35" s="22" t="str">
        <x:v>!skills.md</x:v>
      </x:c>
      <x:c r="D35" s="22" t="str">
        <x:v>03 · for-chat: lõi/mô-đun</x:v>
      </x:c>
      <x:c r="E35" s="23" t="str">
        <x:v>.md</x:v>
      </x:c>
      <x:c r="F35" s="24" t="n">
        <x:v>10370</x:v>
      </x:c>
      <x:c r="G35" s="23" t="str">
        <x:v>94513198</x:v>
      </x:c>
      <x:c r="H35" s="22" t="str">
        <x:v>version: 8.4.6-C</x:v>
      </x:c>
      <x:c r="I35" s="22" t="str">
        <x:v>Danh mục năng lực/skill có thể nạp cho bản triển khai chat.</x:v>
      </x:c>
      <x:c r="J35" s="22" t="str">
        <x:v>Lõi &amp; điều phối</x:v>
      </x:c>
      <x:c r="K35" s="22" t="str">
        <x:v>Bản triển khai độc lập cho Claude Chat/Projects</x:v>
      </x:c>
      <x:c r="L35" s="22" t="str">
        <x:v>Cùng chức năng/biến thể triển khai với: 8.4.6-C/plugin/.claude/skills/p2p/SKILL.md</x:v>
      </x:c>
      <x:c r="M35" s="22" t="str">
        <x:v>source/8.4.6-C/for-chat/!skills.md</x:v>
      </x:c>
      <x:c r="N35" s="22" t="str">
        <x:v>Giữ cả các file gốc trong source snapshot; runtime chỉ kích hoạt một bản canonical để tránh nạp kép.</x:v>
      </x:c>
      <x:c r="O35" s="22" t="str">
        <x:v>Skill điều phối</x:v>
      </x:c>
      <x:c r="P35" s="22" t="str">
        <x:v>.agents/skills/p2p/SKILL.md</x:v>
      </x:c>
      <x:c r="Q35" s="22" t="str">
        <x:v>KEEP_SOURCE + DEDUP_RUNTIME</x:v>
      </x:c>
      <x:c r="R35" s="22" t="str">
        <x:v>Không nạp riêng · dùng bản canonical</x:v>
      </x:c>
      <x:c r="S35" s="22" t="str">
        <x:v>Không nạp bản này; chỉ dùng để đối chiếu/parity</x:v>
      </x:c>
      <x:c r="T35" s="22" t="str">
        <x:v>0 · Bảo tồn &amp; đối chiếu</x:v>
      </x:c>
      <x:c r="U35" s="22" t="str">
        <x:v>P0 · Bảo tồn</x:v>
      </x:c>
      <x:c r="V35" s="22" t="str">
        <x:v>Đã chuyển và kiểm tra cấu trúc</x:v>
      </x:c>
      <x:c r="W35" s="22" t="str">
        <x:v>CRC nguồn khớp ZIP; chứng minh bản Codex canonical bao phủ cùng hành vi; không nạp kép.</x:v>
      </x:c>
      <x:c r="X35" s="22" t="str">
        <x:v>Đây là hình thức phân phối Claude Chat; giữ đủ nhưng không kích hoạt song song với nguồn plugin. Đích đề xuất ban đầu: skills/p2p/SKILL.md. Đích thực tế trong gói: .agents/skills/p2p/SKILL.md. Bằng chứng: TARGET_PRESENT; SKILL_VALIDATOR_PASS.</x:v>
      </x:c>
      <x:c r="Y35" s="22" t="str">
        <x:v>https://learn.chatgpt.com/docs/build-skills</x:v>
      </x:c>
    </x:row>
    <x:row r="36" ht="68" customHeight="1">
      <x:c r="A36" s="23" t="n">
        <x:v>32</x:v>
      </x:c>
      <x:c r="B36" s="22" t="str">
        <x:v>8.4.6-C/for-chat/!teacher.md</x:v>
      </x:c>
      <x:c r="C36" s="22" t="str">
        <x:v>!teacher.md</x:v>
      </x:c>
      <x:c r="D36" s="22" t="str">
        <x:v>03 · for-chat: lõi/mô-đun</x:v>
      </x:c>
      <x:c r="E36" s="23" t="str">
        <x:v>.md</x:v>
      </x:c>
      <x:c r="F36" s="24" t="n">
        <x:v>32878</x:v>
      </x:c>
      <x:c r="G36" s="23" t="str">
        <x:v>DDC2A335</x:v>
      </x:c>
      <x:c r="H36" s="22" t="str">
        <x:v>scope: Interactive teaching curriculum for P2P v8C.3. 5 levels + Q&amp;A FAQ. Loaded on /p2p-teacher trigger.; version: 8.4.6-C; Tiêu đề: !teacher.md — Curriculum P2P v8C.3 / ОГЛАВЛЕНИЕ</x:v>
      </x:c>
      <x:c r="I36" s="22" t="str">
        <x:v>Giáo trình tương tác 5 cấp độ giúp người mới học và thực hành P2P.</x:v>
      </x:c>
      <x:c r="J36" s="22" t="str">
        <x:v>Đào tạo &amp; hướng dẫn</x:v>
      </x:c>
      <x:c r="K36" s="22" t="str">
        <x:v>Bản triển khai độc lập cho Claude Chat/Projects</x:v>
      </x:c>
      <x:c r="L36" s="22" t="str">
        <x:v>Cùng chức năng/biến thể triển khai với: 8.4.6-C/plugin/.claude/skills/p2p/teacher.md</x:v>
      </x:c>
      <x:c r="M36" s="22" t="str">
        <x:v>source/8.4.6-C/for-chat/!teacher.md</x:v>
      </x:c>
      <x:c r="N36" s="22" t="str">
        <x:v>Giữ cả các file gốc trong source snapshot; runtime chỉ kích hoạt một bản canonical để tránh nạp kép.</x:v>
      </x:c>
      <x:c r="O36" s="22" t="str">
        <x:v>Reference on-demand</x:v>
      </x:c>
      <x:c r="P36" s="22" t="str">
        <x:v>.agents/skills/p2p/references/legacy/teacher.md</x:v>
      </x:c>
      <x:c r="Q36" s="22" t="str">
        <x:v>KEEP_SOURCE + DEDUP_RUNTIME</x:v>
      </x:c>
      <x:c r="R36" s="22" t="str">
        <x:v>Không nạp riêng · dùng bản canonical</x:v>
      </x:c>
      <x:c r="S36" s="22" t="str">
        <x:v>Skill Codex chỉ đọc reference này khi nhiệm vụ cần; không preload toàn bộ</x:v>
      </x:c>
      <x:c r="T36" s="22" t="str">
        <x:v>0 · Bảo tồn &amp; đối chiếu</x:v>
      </x:c>
      <x:c r="U36" s="22" t="str">
        <x:v>P0 · Bảo tồn</x:v>
      </x:c>
      <x:c r="V36" s="22" t="str">
        <x:v>Đã giữ reference; nạp theo nhu cầu</x:v>
      </x:c>
      <x:c r="W36" s="22" t="str">
        <x:v>CRC nguồn khớp ZIP; chứng minh bản Codex canonical bao phủ cùng hành vi; không nạp kép.</x:v>
      </x:c>
      <x:c r="X36" s="22" t="str">
        <x:v>Đây là hình thức phân phối Claude Chat; giữ đủ nhưng không kích hoạt song song với nguồn plugin. Đích đề xuất ban đầu: skills/p2p/references/teacher.md. Đích thực tế trong gói: .agents/skills/p2p/references/legacy/teacher.md. Bằng chứng: SOURCE_HASH_VERIFIED; TARGET_PRESENT; ON_DEMAND_LOAD.</x:v>
      </x:c>
      <x:c r="Y36" s="22" t="str">
        <x:v>https://learn.chatgpt.com/docs/build-skills</x:v>
      </x:c>
    </x:row>
    <x:row r="37" ht="68" customHeight="1">
      <x:c r="A37" s="23" t="n">
        <x:v>33</x:v>
      </x:c>
      <x:c r="B37" s="22" t="str">
        <x:v>8.4.6-C/for-chat/!templates.md</x:v>
      </x:c>
      <x:c r="C37" s="22" t="str">
        <x:v>!templates.md</x:v>
      </x:c>
      <x:c r="D37" s="22" t="str">
        <x:v>03 · for-chat: lõi/mô-đun</x:v>
      </x:c>
      <x:c r="E37" s="23" t="str">
        <x:v>.md</x:v>
      </x:c>
      <x:c r="F37" s="24" t="n">
        <x:v>16046</x:v>
      </x:c>
      <x:c r="G37" s="23" t="str">
        <x:v>70F97FFD</x:v>
      </x:c>
      <x:c r="H37" s="22" t="str">
        <x:v>scope: Extended template library — full implementations of Templates A–M with examples, usage notes, and variants. Base templates are in !!db_v8C.md; this module adds extended details and domain-specific variants.; version: 8.4.6-C; Tiêu đề: P2P — TEMPLATE LIBRARY EXTENDED (!templates.md) / ВЫБОР ШАБЛОНА — БЫСТРЫЙ ГАЙД</x:v>
      </x:c>
      <x:c r="I37" s="22" t="str">
        <x:v>Thư viện mở rộng các mẫu A–M, ví dụ và biến thể theo miền.</x:v>
      </x:c>
      <x:c r="J37" s="22" t="str">
        <x:v>Prompt engineering &amp; QC</x:v>
      </x:c>
      <x:c r="K37" s="22" t="str">
        <x:v>Bản triển khai độc lập cho Claude Chat/Projects</x:v>
      </x:c>
      <x:c r="L37" s="22" t="str">
        <x:v>Cùng chức năng/biến thể triển khai với: 8.4.6-C/plugin/.claude/skills/p2p/templates_library.md</x:v>
      </x:c>
      <x:c r="M37" s="22" t="str">
        <x:v>source/8.4.6-C/for-chat/!templates.md</x:v>
      </x:c>
      <x:c r="N37" s="22" t="str">
        <x:v>Giữ cả các file gốc trong source snapshot; runtime chỉ kích hoạt một bản canonical để tránh nạp kép.</x:v>
      </x:c>
      <x:c r="O37" s="22" t="str">
        <x:v>Reference on-demand</x:v>
      </x:c>
      <x:c r="P37" s="22" t="str">
        <x:v>.agents/skills/p2p/references/legacy/templates_library.md</x:v>
      </x:c>
      <x:c r="Q37" s="22" t="str">
        <x:v>KEEP_SOURCE + DEDUP_RUNTIME</x:v>
      </x:c>
      <x:c r="R37" s="22" t="str">
        <x:v>Không nạp riêng · dùng bản canonical</x:v>
      </x:c>
      <x:c r="S37" s="22" t="str">
        <x:v>Skill Codex chỉ đọc reference này khi nhiệm vụ cần; không preload toàn bộ</x:v>
      </x:c>
      <x:c r="T37" s="22" t="str">
        <x:v>0 · Bảo tồn &amp; đối chiếu</x:v>
      </x:c>
      <x:c r="U37" s="22" t="str">
        <x:v>P0 · Bảo tồn</x:v>
      </x:c>
      <x:c r="V37" s="22" t="str">
        <x:v>Đã giữ reference; nạp theo nhu cầu</x:v>
      </x:c>
      <x:c r="W37" s="22" t="str">
        <x:v>CRC nguồn khớp ZIP; chứng minh bản Codex canonical bao phủ cùng hành vi; không nạp kép.</x:v>
      </x:c>
      <x:c r="X37" s="22" t="str">
        <x:v>Đây là hình thức phân phối Claude Chat; giữ đủ nhưng không kích hoạt song song với nguồn plugin. Đích đề xuất ban đầu: skills/p2p/references/templates_library.md. Đích thực tế trong gói: .agents/skills/p2p/references/legacy/templates_library.md. Bằng chứng: SOURCE_HASH_VERIFIED; TARGET_PRESENT; ON_DEMAND_LOAD.</x:v>
      </x:c>
      <x:c r="Y37" s="22" t="str">
        <x:v>https://learn.chatgpt.com/docs/build-skills</x:v>
      </x:c>
    </x:row>
    <x:row r="38" ht="68" customHeight="1">
      <x:c r="A38" s="23" t="n">
        <x:v>34</x:v>
      </x:c>
      <x:c r="B38" s="22" t="str">
        <x:v>8.4.6-C/for-chat/!tool_budget.md</x:v>
      </x:c>
      <x:c r="C38" s="22" t="str">
        <x:v>!tool_budget.md</x:v>
      </x:c>
      <x:c r="D38" s="22" t="str">
        <x:v>03 · for-chat: lõi/mô-đun</x:v>
      </x:c>
      <x:c r="E38" s="23" t="str">
        <x:v>.md</x:v>
      </x:c>
      <x:c r="F38" s="24" t="n">
        <x:v>3886</x:v>
      </x:c>
      <x:c r="G38" s="23" t="str">
        <x:v>EEC83DF1</x:v>
      </x:c>
      <x:c r="H38" s="22" t="str">
        <x:v>scope: Tool Budget — managing API tool call limits, re-injection protocols, constraint drift prevention for agentic workflows.; version: 8.4.6-C; Tiêu đề: P2P — TOOL BUDGET (!tool_budget.md) / ПРОБЛЕМА CONSTRAINT DRIFT</x:v>
      </x:c>
      <x:c r="I38" s="22" t="str">
        <x:v>Quản lý ngân sách gọi công cụ và chống trôi ràng buộc trong workflow agentic.</x:v>
      </x:c>
      <x:c r="J38" s="22" t="str">
        <x:v>Trạng thái, scope &amp; đo lường</x:v>
      </x:c>
      <x:c r="K38" s="22" t="str">
        <x:v>Bản triển khai độc lập cho Claude Chat/Projects</x:v>
      </x:c>
      <x:c r="L38" s="22" t="str">
        <x:v>Cùng chức năng/biến thể triển khai với: 8.4.6-C/plugin/.claude/skills/p2p/tool_budget.md</x:v>
      </x:c>
      <x:c r="M38" s="22" t="str">
        <x:v>source/8.4.6-C/for-chat/!tool_budget.md</x:v>
      </x:c>
      <x:c r="N38" s="22" t="str">
        <x:v>Giữ cả các file gốc trong source snapshot; runtime chỉ kích hoạt một bản canonical để tránh nạp kép.</x:v>
      </x:c>
      <x:c r="O38" s="22" t="str">
        <x:v>Reference on-demand</x:v>
      </x:c>
      <x:c r="P38" s="22" t="str">
        <x:v>.agents/skills/p2p/references/legacy/tool_budget.md</x:v>
      </x:c>
      <x:c r="Q38" s="22" t="str">
        <x:v>KEEP_SOURCE + DEDUP_RUNTIME</x:v>
      </x:c>
      <x:c r="R38" s="22" t="str">
        <x:v>Không nạp riêng · dùng bản canonical</x:v>
      </x:c>
      <x:c r="S38" s="22" t="str">
        <x:v>Skill Codex chỉ đọc reference này khi nhiệm vụ cần; không preload toàn bộ</x:v>
      </x:c>
      <x:c r="T38" s="22" t="str">
        <x:v>0 · Bảo tồn &amp; đối chiếu</x:v>
      </x:c>
      <x:c r="U38" s="22" t="str">
        <x:v>P0 · Bảo tồn</x:v>
      </x:c>
      <x:c r="V38" s="22" t="str">
        <x:v>Đã giữ reference; nạp theo nhu cầu</x:v>
      </x:c>
      <x:c r="W38" s="22" t="str">
        <x:v>CRC nguồn khớp ZIP; chứng minh bản Codex canonical bao phủ cùng hành vi; không nạp kép.</x:v>
      </x:c>
      <x:c r="X38" s="22" t="str">
        <x:v>Đây là hình thức phân phối Claude Chat; giữ đủ nhưng không kích hoạt song song với nguồn plugin. Đích đề xuất ban đầu: skills/p2p/references/tool_budget.md. Đích thực tế trong gói: .agents/skills/p2p/references/legacy/tool_budget.md. Bằng chứng: SOURCE_HASH_VERIFIED; TARGET_PRESENT; ON_DEMAND_LOAD.</x:v>
      </x:c>
      <x:c r="Y38" s="22" t="str">
        <x:v>https://learn.chatgpt.com/docs/build-skills</x:v>
      </x:c>
    </x:row>
    <x:row r="39" ht="68" customHeight="1">
      <x:c r="A39" s="23" t="n">
        <x:v>35</x:v>
      </x:c>
      <x:c r="B39" s="22" t="str">
        <x:v>8.4.6-C/for-chat/!user_context.md</x:v>
      </x:c>
      <x:c r="C39" s="22" t="str">
        <x:v>!user_context.md</x:v>
      </x:c>
      <x:c r="D39" s="22" t="str">
        <x:v>03 · for-chat: lõi/mô-đun</x:v>
      </x:c>
      <x:c r="E39" s="23" t="str">
        <x:v>.md</x:v>
      </x:c>
      <x:c r="F39" s="24" t="n">
        <x:v>4966</x:v>
      </x:c>
      <x:c r="G39" s="23" t="str">
        <x:v>F0FCE6A8</x:v>
      </x:c>
      <x:c r="H39" s="22" t="str">
        <x:v>scope: User Context extended — personalization profiles, communication preferences, expertise mapping, adaptive behavior rules.; version: 8.4.6-C; Tiêu đề: P2P — USER CONTEXT EXTENDED (!user_context.md) / ЗАЧЕМ USER CONTEXT</x:v>
      </x:c>
      <x:c r="I39" s="22" t="str">
        <x:v>Hồ sơ người dùng, sở thích giao tiếp, mức chuyên môn và quy tắc thích ứng.</x:v>
      </x:c>
      <x:c r="J39" s="22" t="str">
        <x:v>Ngữ cảnh người dùng &amp; miền</x:v>
      </x:c>
      <x:c r="K39" s="22" t="str">
        <x:v>Bản triển khai độc lập cho Claude Chat/Projects</x:v>
      </x:c>
      <x:c r="L39" s="22" t="str">
        <x:v>Cùng chức năng/biến thể triển khai với: 8.4.6-C/plugin/.claude/skills/p2p/user_context.md</x:v>
      </x:c>
      <x:c r="M39" s="22" t="str">
        <x:v>source/8.4.6-C/for-chat/!user_context.md</x:v>
      </x:c>
      <x:c r="N39" s="22" t="str">
        <x:v>Giữ cả các file gốc trong source snapshot; runtime chỉ kích hoạt một bản canonical để tránh nạp kép.</x:v>
      </x:c>
      <x:c r="O39" s="22" t="str">
        <x:v>Reference on-demand</x:v>
      </x:c>
      <x:c r="P39" s="22" t="str">
        <x:v>.agents/skills/p2p/references/legacy/user_context.md</x:v>
      </x:c>
      <x:c r="Q39" s="22" t="str">
        <x:v>KEEP_SOURCE + DEDUP_RUNTIME</x:v>
      </x:c>
      <x:c r="R39" s="22" t="str">
        <x:v>Không nạp riêng · dùng bản canonical</x:v>
      </x:c>
      <x:c r="S39" s="22" t="str">
        <x:v>Skill Codex chỉ đọc reference này khi nhiệm vụ cần; không preload toàn bộ</x:v>
      </x:c>
      <x:c r="T39" s="22" t="str">
        <x:v>0 · Bảo tồn &amp; đối chiếu</x:v>
      </x:c>
      <x:c r="U39" s="22" t="str">
        <x:v>P0 · Bảo tồn</x:v>
      </x:c>
      <x:c r="V39" s="22" t="str">
        <x:v>Đã giữ reference; nạp theo nhu cầu</x:v>
      </x:c>
      <x:c r="W39" s="22" t="str">
        <x:v>CRC nguồn khớp ZIP; chứng minh bản Codex canonical bao phủ cùng hành vi; không nạp kép.</x:v>
      </x:c>
      <x:c r="X39" s="22" t="str">
        <x:v>Đây là hình thức phân phối Claude Chat; giữ đủ nhưng không kích hoạt song song với nguồn plugin. Đích đề xuất ban đầu: skills/p2p/references/user_context.md. Đích thực tế trong gói: .agents/skills/p2p/references/legacy/user_context.md. Bằng chứng: SOURCE_HASH_VERIFIED; TARGET_PRESENT; ON_DEMAND_LOAD.</x:v>
      </x:c>
      <x:c r="Y39" s="22" t="str">
        <x:v>https://learn.chatgpt.com/docs/build-skills</x:v>
      </x:c>
    </x:row>
    <x:row r="40" ht="68" customHeight="1">
      <x:c r="A40" s="23" t="n">
        <x:v>36</x:v>
      </x:c>
      <x:c r="B40" s="22" t="str">
        <x:v>8.4.6-C/for-chat/!visual.md</x:v>
      </x:c>
      <x:c r="C40" s="22" t="str">
        <x:v>!visual.md</x:v>
      </x:c>
      <x:c r="D40" s="22" t="str">
        <x:v>03 · for-chat: lõi/mô-đun</x:v>
      </x:c>
      <x:c r="E40" s="23" t="str">
        <x:v>.md</x:v>
      </x:c>
      <x:c r="F40" s="24" t="n">
        <x:v>7257</x:v>
      </x:c>
      <x:c r="G40" s="23" t="str">
        <x:v>E4A8BD65</x:v>
      </x:c>
      <x:c r="H40" s="22" t="str">
        <x:v>version: 8.4.6-C; Tiêu đề: !visual.md — Visual / Video / Audio Suite (v8C.3) / §1. IMAGE STREAM</x:v>
      </x:c>
      <x:c r="I40" s="22" t="str">
        <x:v>Quy tắc làm việc với hình ảnh, video và âm thanh.</x:v>
      </x:c>
      <x:c r="J40" s="22" t="str">
        <x:v>Nội dung, media &amp; trình bày</x:v>
      </x:c>
      <x:c r="K40" s="22" t="str">
        <x:v>Bản triển khai độc lập cho Claude Chat/Projects</x:v>
      </x:c>
      <x:c r="L40" s="22" t="str">
        <x:v>Cùng chức năng/biến thể triển khai với: 8.4.6-C/plugin/.claude/skills/p2p/visual_suite.md</x:v>
      </x:c>
      <x:c r="M40" s="22" t="str">
        <x:v>source/8.4.6-C/for-chat/!visual.md</x:v>
      </x:c>
      <x:c r="N40" s="22" t="str">
        <x:v>Giữ cả các file gốc trong source snapshot; runtime chỉ kích hoạt một bản canonical để tránh nạp kép.</x:v>
      </x:c>
      <x:c r="O40" s="22" t="str">
        <x:v>Reference on-demand</x:v>
      </x:c>
      <x:c r="P40" s="22" t="str">
        <x:v>.agents/skills/p2p/references/legacy/visual_suite.md</x:v>
      </x:c>
      <x:c r="Q40" s="22" t="str">
        <x:v>KEEP_SOURCE + DEDUP_RUNTIME</x:v>
      </x:c>
      <x:c r="R40" s="22" t="str">
        <x:v>Không nạp riêng · dùng bản canonical</x:v>
      </x:c>
      <x:c r="S40" s="22" t="str">
        <x:v>Skill Codex chỉ đọc reference này khi nhiệm vụ cần; không preload toàn bộ</x:v>
      </x:c>
      <x:c r="T40" s="22" t="str">
        <x:v>0 · Bảo tồn &amp; đối chiếu</x:v>
      </x:c>
      <x:c r="U40" s="22" t="str">
        <x:v>P0 · Bảo tồn</x:v>
      </x:c>
      <x:c r="V40" s="22" t="str">
        <x:v>Đã giữ reference; nạp theo nhu cầu</x:v>
      </x:c>
      <x:c r="W40" s="22" t="str">
        <x:v>CRC nguồn khớp ZIP; chứng minh bản Codex canonical bao phủ cùng hành vi; không nạp kép.</x:v>
      </x:c>
      <x:c r="X40" s="22" t="str">
        <x:v>Đây là hình thức phân phối Claude Chat; giữ đủ nhưng không kích hoạt song song với nguồn plugin. Đích đề xuất ban đầu: skills/p2p/references/visual_suite.md. Đích thực tế trong gói: .agents/skills/p2p/references/legacy/visual_suite.md. Bằng chứng: SOURCE_HASH_VERIFIED; TARGET_PRESENT; ON_DEMAND_LOAD.</x:v>
      </x:c>
      <x:c r="Y40" s="22" t="str">
        <x:v>https://learn.chatgpt.com/docs/build-skills</x:v>
      </x:c>
    </x:row>
    <x:row r="41" ht="68" customHeight="1">
      <x:c r="A41" s="23" t="n">
        <x:v>37</x:v>
      </x:c>
      <x:c r="B41" s="22" t="str">
        <x:v>8.4.6-C/for-chat/!writing.md</x:v>
      </x:c>
      <x:c r="C41" s="22" t="str">
        <x:v>!writing.md</x:v>
      </x:c>
      <x:c r="D41" s="22" t="str">
        <x:v>03 · for-chat: lõi/mô-đun</x:v>
      </x:c>
      <x:c r="E41" s="23" t="str">
        <x:v>.md</x:v>
      </x:c>
      <x:c r="F41" s="24" t="n">
        <x:v>13214</x:v>
      </x:c>
      <x:c r="G41" s="23" t="str">
        <x:v>9BFCD428</x:v>
      </x:c>
      <x:c r="H41" s="22" t="str">
        <x:v>version: 8.4.6-C; Tiêu đề: !writing.md — Writing Quality Control / §1. CONSTRAINT vs PRESSURE PROMPTING</x:v>
      </x:c>
      <x:c r="I41" s="22" t="str">
        <x:v>Kiểm soát chất lượng viết và các mẫu ràng buộc cho nội dung.</x:v>
      </x:c>
      <x:c r="J41" s="22" t="str">
        <x:v>Nội dung, media &amp; trình bày</x:v>
      </x:c>
      <x:c r="K41" s="22" t="str">
        <x:v>Bản triển khai độc lập cho Claude Chat/Projects</x:v>
      </x:c>
      <x:c r="L41" s="22" t="str">
        <x:v>Cùng chức năng/biến thể triển khai với: 8.4.6-C/plugin/.claude/skills/p2p/writing_suite.md</x:v>
      </x:c>
      <x:c r="M41" s="22" t="str">
        <x:v>source/8.4.6-C/for-chat/!writing.md</x:v>
      </x:c>
      <x:c r="N41" s="22" t="str">
        <x:v>Giữ cả các file gốc trong source snapshot; runtime chỉ kích hoạt một bản canonical để tránh nạp kép.</x:v>
      </x:c>
      <x:c r="O41" s="22" t="str">
        <x:v>Reference on-demand</x:v>
      </x:c>
      <x:c r="P41" s="22" t="str">
        <x:v>.agents/skills/p2p/references/legacy/writing_suite.md</x:v>
      </x:c>
      <x:c r="Q41" s="22" t="str">
        <x:v>KEEP_SOURCE + DEDUP_RUNTIME</x:v>
      </x:c>
      <x:c r="R41" s="22" t="str">
        <x:v>Không nạp riêng · dùng bản canonical</x:v>
      </x:c>
      <x:c r="S41" s="22" t="str">
        <x:v>Skill Codex chỉ đọc reference này khi nhiệm vụ cần; không preload toàn bộ</x:v>
      </x:c>
      <x:c r="T41" s="22" t="str">
        <x:v>0 · Bảo tồn &amp; đối chiếu</x:v>
      </x:c>
      <x:c r="U41" s="22" t="str">
        <x:v>P0 · Bảo tồn</x:v>
      </x:c>
      <x:c r="V41" s="22" t="str">
        <x:v>Đã giữ reference; nạp theo nhu cầu</x:v>
      </x:c>
      <x:c r="W41" s="22" t="str">
        <x:v>CRC nguồn khớp ZIP; chứng minh bản Codex canonical bao phủ cùng hành vi; không nạp kép.</x:v>
      </x:c>
      <x:c r="X41" s="22" t="str">
        <x:v>Đây là hình thức phân phối Claude Chat; giữ đủ nhưng không kích hoạt song song với nguồn plugin. Đích đề xuất ban đầu: skills/p2p/references/writing_suite.md. Đích thực tế trong gói: .agents/skills/p2p/references/legacy/writing_suite.md. Bằng chứng: SOURCE_HASH_VERIFIED; TARGET_PRESENT; ON_DEMAND_LOAD.</x:v>
      </x:c>
      <x:c r="Y41" s="22" t="str">
        <x:v>https://learn.chatgpt.com/docs/build-skills</x:v>
      </x:c>
    </x:row>
    <x:row r="42" ht="68" customHeight="1">
      <x:c r="A42" s="23" t="n">
        <x:v>38</x:v>
      </x:c>
      <x:c r="B42" s="22" t="str">
        <x:v>8.4.6-C/for-chat/_glossary.md</x:v>
      </x:c>
      <x:c r="C42" s="22" t="str">
        <x:v>_glossary.md</x:v>
      </x:c>
      <x:c r="D42" s="22" t="str">
        <x:v>03 · for-chat: lõi/mô-đun</x:v>
      </x:c>
      <x:c r="E42" s="23" t="str">
        <x:v>.md</x:v>
      </x:c>
      <x:c r="F42" s="24" t="n">
        <x:v>6152</x:v>
      </x:c>
      <x:c r="G42" s="23" t="str">
        <x:v>A9F39606</x:v>
      </x:c>
      <x:c r="H42" s="22" t="str">
        <x:v>scope: P2P glossary — all terms, acronyms, G-errors quick reference, agent names.; version: 8.4.6-C; Tiêu đề: P2P — ГЛОССАРИЙ (_glossary.md) / ТЕРМИНЫ P2P</x:v>
      </x:c>
      <x:c r="I42" s="22" t="str">
        <x:v>Từ điển thuật ngữ, chữ viết tắt, lỗi G và tên agent.</x:v>
      </x:c>
      <x:c r="J42" s="22" t="str">
        <x:v>Prompt engineering &amp; QC</x:v>
      </x:c>
      <x:c r="K42" s="22" t="str">
        <x:v>Bản triển khai độc lập cho Claude Chat/Projects</x:v>
      </x:c>
      <x:c r="L42" s="22" t="str">
        <x:v>Trùng byte với: 8.4.6-C/plugin/.claude/skills/p2p/glossary.md</x:v>
      </x:c>
      <x:c r="M42" s="22" t="str">
        <x:v>source/8.4.6-C/for-chat/_glossary.md</x:v>
      </x:c>
      <x:c r="N42" s="22" t="str">
        <x:v>Giữ cả các file gốc trong source snapshot; runtime chỉ kích hoạt một bản canonical để tránh nạp kép.</x:v>
      </x:c>
      <x:c r="O42" s="22" t="str">
        <x:v>Reference on-demand</x:v>
      </x:c>
      <x:c r="P42" s="22" t="str">
        <x:v>.agents/skills/p2p/references/legacy/glossary.md</x:v>
      </x:c>
      <x:c r="Q42" s="22" t="str">
        <x:v>KEEP_SOURCE + DEDUP_RUNTIME</x:v>
      </x:c>
      <x:c r="R42" s="22" t="str">
        <x:v>Không nạp riêng · dùng bản canonical</x:v>
      </x:c>
      <x:c r="S42" s="22" t="str">
        <x:v>Skill Codex chỉ đọc reference này khi nhiệm vụ cần; không preload toàn bộ</x:v>
      </x:c>
      <x:c r="T42" s="22" t="str">
        <x:v>0 · Bảo tồn &amp; đối chiếu</x:v>
      </x:c>
      <x:c r="U42" s="22" t="str">
        <x:v>P0 · Bảo tồn</x:v>
      </x:c>
      <x:c r="V42" s="22" t="str">
        <x:v>Đã giữ reference; nạp theo nhu cầu</x:v>
      </x:c>
      <x:c r="W42" s="22" t="str">
        <x:v>CRC nguồn khớp ZIP; chứng minh bản Codex canonical bao phủ cùng hành vi; không nạp kép.</x:v>
      </x:c>
      <x:c r="X42" s="22" t="str">
        <x:v>Đây là hình thức phân phối Claude Chat; giữ đủ nhưng không kích hoạt song song với nguồn plugin. Đích đề xuất ban đầu: skills/p2p/references/glossary.md. Đích thực tế trong gói: .agents/skills/p2p/references/legacy/glossary.md. Bằng chứng: SOURCE_HASH_VERIFIED; TARGET_PRESENT; ON_DEMAND_LOAD.</x:v>
      </x:c>
      <x:c r="Y42" s="22" t="str">
        <x:v>https://learn.chatgpt.com/docs/build-skills</x:v>
      </x:c>
    </x:row>
    <x:row r="43" ht="68" customHeight="1">
      <x:c r="A43" s="23" t="n">
        <x:v>39</x:v>
      </x:c>
      <x:c r="B43" s="22" t="str">
        <x:v>8.4.6-C/for-chat/_index.md</x:v>
      </x:c>
      <x:c r="C43" s="22" t="str">
        <x:v>_index.md</x:v>
      </x:c>
      <x:c r="D43" s="22" t="str">
        <x:v>03 · for-chat: lõi/mô-đun</x:v>
      </x:c>
      <x:c r="E43" s="23" t="str">
        <x:v>.md</x:v>
      </x:c>
      <x:c r="F43" s="24" t="n">
        <x:v>8853</x:v>
      </x:c>
      <x:c r="G43" s="23" t="str">
        <x:v>985EBCA4</x:v>
      </x:c>
      <x:c r="H43" s="22" t="str">
        <x:v>scope: P2P master index — all files, load order, tags, module types.; version: 8.4.6-C; Tiêu đề: P2P — МАСТЕР ИНДЕКС (_index.md) / СТРУКТУРА ФАЙЛОВ</x:v>
      </x:c>
      <x:c r="I43" s="22" t="str">
        <x:v>Chỉ mục toàn bộ file, loại module, phụ thuộc và thứ tự nạp.</x:v>
      </x:c>
      <x:c r="J43" s="22" t="str">
        <x:v>Lõi &amp; điều phối</x:v>
      </x:c>
      <x:c r="K43" s="22" t="str">
        <x:v>Bản triển khai độc lập cho Claude Chat/Projects</x:v>
      </x:c>
      <x:c r="L43" s="22" t="str">
        <x:v>Cùng chức năng/biến thể triển khai với: 8.4.6-C/plugin/.claude/skills/p2p/global_index.md</x:v>
      </x:c>
      <x:c r="M43" s="22" t="str">
        <x:v>source/8.4.6-C/for-chat/_index.md</x:v>
      </x:c>
      <x:c r="N43" s="22" t="str">
        <x:v>Giữ cả các file gốc trong source snapshot; runtime chỉ kích hoạt một bản canonical để tránh nạp kép.</x:v>
      </x:c>
      <x:c r="O43" s="22" t="str">
        <x:v>Reference on-demand</x:v>
      </x:c>
      <x:c r="P43" s="22" t="str">
        <x:v>.agents/skills/p2p/references/legacy/global_index.md</x:v>
      </x:c>
      <x:c r="Q43" s="22" t="str">
        <x:v>KEEP_SOURCE + DEDUP_RUNTIME</x:v>
      </x:c>
      <x:c r="R43" s="22" t="str">
        <x:v>Không nạp riêng · dùng bản canonical</x:v>
      </x:c>
      <x:c r="S43" s="22" t="str">
        <x:v>Skill Codex chỉ đọc reference này khi nhiệm vụ cần; không preload toàn bộ</x:v>
      </x:c>
      <x:c r="T43" s="22" t="str">
        <x:v>0 · Bảo tồn &amp; đối chiếu</x:v>
      </x:c>
      <x:c r="U43" s="22" t="str">
        <x:v>P0 · Bảo tồn</x:v>
      </x:c>
      <x:c r="V43" s="22" t="str">
        <x:v>Đã giữ reference; nạp theo nhu cầu</x:v>
      </x:c>
      <x:c r="W43" s="22" t="str">
        <x:v>CRC nguồn khớp ZIP; chứng minh bản Codex canonical bao phủ cùng hành vi; không nạp kép.</x:v>
      </x:c>
      <x:c r="X43" s="22" t="str">
        <x:v>Đây là hình thức phân phối Claude Chat; giữ đủ nhưng không kích hoạt song song với nguồn plugin. Đích đề xuất ban đầu: skills/p2p/references/global_index.md. Đích thực tế trong gói: .agents/skills/p2p/references/legacy/global_index.md. Bằng chứng: SOURCE_HASH_VERIFIED; TARGET_PRESENT; ON_DEMAND_LOAD.</x:v>
      </x:c>
      <x:c r="Y43" s="22" t="str">
        <x:v>https://learn.chatgpt.com/docs/build-skills</x:v>
      </x:c>
    </x:row>
    <x:row r="44" ht="68" customHeight="1">
      <x:c r="A44" s="23" t="n">
        <x:v>40</x:v>
      </x:c>
      <x:c r="B44" s="22" t="str">
        <x:v>8.4.6-C/for-chat/_live/MANIFEST.md</x:v>
      </x:c>
      <x:c r="C44" s="22" t="str">
        <x:v>MANIFEST.md</x:v>
      </x:c>
      <x:c r="D44" s="22" t="str">
        <x:v>04 · for-chat: LIVE/vendor</x:v>
      </x:c>
      <x:c r="E44" s="23" t="str">
        <x:v>.md</x:v>
      </x:c>
      <x:c r="F44" s="24" t="n">
        <x:v>7701</x:v>
      </x:c>
      <x:c r="G44" s="23" t="str">
        <x:v>74B93702</x:v>
      </x:c>
      <x:c r="H44" s="22" t="str">
        <x:v>scope: P2P live manifest — deadlines, deprecation flags, daily refresh checklist, v8C.3 module status. Always loaded as part of BASE set.; version: 8.4.6-C; Tiêu đề: P2P — LIVE MANIFEST (_live/MANIFEST.md) / ★ CRITICAL DEADLINES (from 2026-07-26)</x:v>
      </x:c>
      <x:c r="I44" s="22" t="str">
        <x:v>Danh mục dữ liệu LIVE, cờ hết hạn và checklist làm mới.</x:v>
      </x:c>
      <x:c r="J44" s="22" t="str">
        <x:v>Dữ liệu LIVE &amp; model/vendor</x:v>
      </x:c>
      <x:c r="K44" s="22" t="str">
        <x:v>Bản triển khai độc lập cho Claude Chat/Projects</x:v>
      </x:c>
      <x:c r="L44" s="22" t="str">
        <x:v>Cùng chức năng/biến thể triển khai với: 8.4.6-C/plugin/.claude/skills/p2p/vendors/_live_manifest.md</x:v>
      </x:c>
      <x:c r="M44" s="22" t="str">
        <x:v>source/8.4.6-C/for-chat/_live/MANIFEST.md</x:v>
      </x:c>
      <x:c r="N44" s="22" t="str">
        <x:v>Giữ cả các file gốc trong source snapshot; runtime chỉ kích hoạt một bản canonical để tránh nạp kép. Snapshot chỉ là bằng chứng lịch sử; lớp LIVE mới phải có nguồn và ngày kiểm chứng.</x:v>
      </x:c>
      <x:c r="O44" s="22" t="str">
        <x:v>Reference LIVE có ngày kiểm chứng</x:v>
      </x:c>
      <x:c r="P44" s="22" t="str">
        <x:v>.agents/skills/p2p/references/legacy/live/_live_manifest.md</x:v>
      </x:c>
      <x:c r="Q44" s="22" t="str">
        <x:v>KEEP_SOURCE + DEDUP_RUNTIME + VERIFY_LIVE</x:v>
      </x:c>
      <x:c r="R44" s="22" t="str">
        <x:v>Không nạp riêng · dữ liệu có thể cũ</x:v>
      </x:c>
      <x:c r="S44" s="22" t="str">
        <x:v>Chỉ đọc như lịch sử; kiểm tra nguồn chính thức hiện hành trước khi áp dụng</x:v>
      </x:c>
      <x:c r="T44" s="22" t="str">
        <x:v>0 · Bảo tồn &amp; đối chiếu</x:v>
      </x:c>
      <x:c r="U44" s="22" t="str">
        <x:v>P0 · Bảo tồn</x:v>
      </x:c>
      <x:c r="V44" s="22" t="str">
        <x:v>Đã giữ nguồn; phải xác minh hiện hành</x:v>
      </x:c>
      <x:c r="W44" s="22" t="str">
        <x:v>CRC nguồn khớp ZIP; chứng minh bản Codex canonical bao phủ cùng hành vi; không nạp kép.</x:v>
      </x:c>
      <x:c r="X44"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skills/p2p/references/live/live_manifest.md. Đích thực tế trong gói: .agents/skills/p2p/references/legacy/live/_live_manifest.md. Bằng chứng: SOURCE_HASH_VERIFIED; FRESHNESS_GATE_REQUIRED.</x:v>
      </x:c>
      <x:c r="Y44" s="22" t="str">
        <x:v>https://learn.chatgpt.com/docs/build-skills</x:v>
      </x:c>
    </x:row>
    <x:row r="45" ht="68" customHeight="1">
      <x:c r="A45" s="23" t="n">
        <x:v>41</x:v>
      </x:c>
      <x:c r="B45" s="22" t="str">
        <x:v>8.4.6-C/for-chat/_live/live_claude.md</x:v>
      </x:c>
      <x:c r="C45" s="22" t="str">
        <x:v>live_claude.md</x:v>
      </x:c>
      <x:c r="D45" s="22" t="str">
        <x:v>04 · for-chat: LIVE/vendor</x:v>
      </x:c>
      <x:c r="E45" s="23" t="str">
        <x:v>.md</x:v>
      </x:c>
      <x:c r="F45" s="24" t="n">
        <x:v>8261</x:v>
      </x:c>
      <x:c r="G45" s="23" t="str">
        <x:v>B114AE94</x:v>
      </x:c>
      <x:c r="H45" s="22" t="str">
        <x:v>scope: Claude-specific live data — current models, pricing, Extended Thinking API, context strategy. Update when Anthropic releases changes.; version: 8.4.6-C; Tiêu đề: P2P — LIVE CLAUDE SPECS (_live/live_claude.md) / АКТУАЛЬНЫЕ МОДЕЛИ (2026-07-26)</x:v>
      </x:c>
      <x:c r="I45" s="22" t="str">
        <x:v>Ảnh chụp thông số mô hình Claude, giá và chiến lược context tại thời điểm phát hành.</x:v>
      </x:c>
      <x:c r="J45" s="22" t="str">
        <x:v>Dữ liệu LIVE &amp; model/vendor</x:v>
      </x:c>
      <x:c r="K45" s="22" t="str">
        <x:v>Bản triển khai độc lập cho Claude Chat/Projects</x:v>
      </x:c>
      <x:c r="L45" s="22" t="str">
        <x:v>Cùng chức năng/biến thể triển khai với: 8.4.6-C/plugin/.claude/skills/p2p/vendors/_live_claude.md</x:v>
      </x:c>
      <x:c r="M45" s="22" t="str">
        <x:v>source/8.4.6-C/for-chat/_live/live_claude.md</x:v>
      </x:c>
      <x:c r="N45" s="22" t="str">
        <x:v>Giữ cả các file gốc trong source snapshot; runtime chỉ kích hoạt một bản canonical để tránh nạp kép. Snapshot chỉ là bằng chứng lịch sử; lớp LIVE mới phải có nguồn và ngày kiểm chứng.</x:v>
      </x:c>
      <x:c r="O45" s="22" t="str">
        <x:v>Reference LIVE có ngày kiểm chứng</x:v>
      </x:c>
      <x:c r="P45" s="22" t="str">
        <x:v>.agents/skills/p2p/references/legacy/live/_live_claude.md</x:v>
      </x:c>
      <x:c r="Q45" s="22" t="str">
        <x:v>KEEP_SOURCE + DEDUP_RUNTIME + VERIFY_LIVE</x:v>
      </x:c>
      <x:c r="R45" s="22" t="str">
        <x:v>Không nạp riêng · dữ liệu có thể cũ</x:v>
      </x:c>
      <x:c r="S45" s="22" t="str">
        <x:v>Chỉ đọc như lịch sử; kiểm tra nguồn chính thức hiện hành trước khi áp dụng</x:v>
      </x:c>
      <x:c r="T45" s="22" t="str">
        <x:v>0 · Bảo tồn &amp; đối chiếu</x:v>
      </x:c>
      <x:c r="U45" s="22" t="str">
        <x:v>P0 · Bảo tồn</x:v>
      </x:c>
      <x:c r="V45" s="22" t="str">
        <x:v>Đã giữ nguồn; phải xác minh hiện hành</x:v>
      </x:c>
      <x:c r="W45" s="22" t="str">
        <x:v>CRC nguồn khớp ZIP; chứng minh bản Codex canonical bao phủ cùng hành vi; không nạp kép.</x:v>
      </x:c>
      <x:c r="X45"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skills/p2p/references/live/live_claude.md. Đích thực tế trong gói: .agents/skills/p2p/references/legacy/live/_live_claude.md. Bằng chứng: SOURCE_HASH_VERIFIED; FRESHNESS_GATE_REQUIRED.</x:v>
      </x:c>
      <x:c r="Y45" s="22" t="str">
        <x:v>https://learn.chatgpt.com/docs/build-skills</x:v>
      </x:c>
    </x:row>
    <x:row r="46" ht="68" customHeight="1">
      <x:c r="A46" s="23" t="n">
        <x:v>42</x:v>
      </x:c>
      <x:c r="B46" s="22" t="str">
        <x:v>8.4.6-C/for-chat/_live/live_core.md</x:v>
      </x:c>
      <x:c r="C46" s="22" t="str">
        <x:v>live_core.md</x:v>
      </x:c>
      <x:c r="D46" s="22" t="str">
        <x:v>04 · for-chat: LIVE/vendor</x:v>
      </x:c>
      <x:c r="E46" s="23" t="str">
        <x:v>.md</x:v>
      </x:c>
      <x:c r="F46" s="24" t="n">
        <x:v>2669</x:v>
      </x:c>
      <x:c r="G46" s="23" t="str">
        <x:v>6398C8D1</x:v>
      </x:c>
      <x:c r="H46" s="22" t="str">
        <x:v>scope: P2P live session state — current session tracking, active project, ATLAS state placeholder, routing memory state.; version: 8.4.6-C; Tiêu đề: P2P — LIVE CORE (_live/live_core.md) / ТЕКУЩАЯ СЕССИЯ</x:v>
      </x:c>
      <x:c r="I46" s="22" t="str">
        <x:v>Mẫu trạng thái phiên, dự án đang hoạt động, ATLAS và bộ nhớ định tuyến.</x:v>
      </x:c>
      <x:c r="J46" s="22" t="str">
        <x:v>Dữ liệu LIVE &amp; model/vendor</x:v>
      </x:c>
      <x:c r="K46" s="22" t="str">
        <x:v>Bản triển khai độc lập cho Claude Chat/Projects</x:v>
      </x:c>
      <x:c r="L46" s="22" t="str">
        <x:v>Cùng chức năng/biến thể triển khai với: 8.4.6-C/plugin/.claude/skills/p2p/vendors/_live_core.md</x:v>
      </x:c>
      <x:c r="M46" s="22" t="str">
        <x:v>source/8.4.6-C/for-chat/_live/live_core.md</x:v>
      </x:c>
      <x:c r="N46" s="22" t="str">
        <x:v>Giữ cả các file gốc trong source snapshot; runtime chỉ kích hoạt một bản canonical để tránh nạp kép. Snapshot chỉ là bằng chứng lịch sử; lớp LIVE mới phải có nguồn và ngày kiểm chứng.</x:v>
      </x:c>
      <x:c r="O46" s="22" t="str">
        <x:v>Reference LIVE có ngày kiểm chứng</x:v>
      </x:c>
      <x:c r="P46" s="22" t="str">
        <x:v>.agents/skills/p2p/references/legacy/live/_live_core.md</x:v>
      </x:c>
      <x:c r="Q46" s="22" t="str">
        <x:v>KEEP_SOURCE + DEDUP_RUNTIME + VERIFY_LIVE</x:v>
      </x:c>
      <x:c r="R46" s="22" t="str">
        <x:v>Không nạp riêng · dữ liệu có thể cũ</x:v>
      </x:c>
      <x:c r="S46" s="22" t="str">
        <x:v>Chỉ đọc như lịch sử; kiểm tra nguồn chính thức hiện hành trước khi áp dụng</x:v>
      </x:c>
      <x:c r="T46" s="22" t="str">
        <x:v>0 · Bảo tồn &amp; đối chiếu</x:v>
      </x:c>
      <x:c r="U46" s="22" t="str">
        <x:v>P0 · Bảo tồn</x:v>
      </x:c>
      <x:c r="V46" s="22" t="str">
        <x:v>Đã giữ nguồn; phải xác minh hiện hành</x:v>
      </x:c>
      <x:c r="W46" s="22" t="str">
        <x:v>CRC nguồn khớp ZIP; chứng minh bản Codex canonical bao phủ cùng hành vi; không nạp kép.</x:v>
      </x:c>
      <x:c r="X46" s="22" t="str">
        <x:v>Đây là hình thức phân phối Claude Chat; giữ đủ nhưng không kích hoạt song song với nguồn plugin. Không hứa lưu bền qua phiên nếu chưa có storage/connector; cần nêu rõ phạm vi bộ nhớ. Đích đề xuất ban đầu: skills/p2p/references/live/live_core.md. Đích thực tế trong gói: .agents/skills/p2p/references/legacy/live/_live_core.md. Bằng chứng: SOURCE_HASH_VERIFIED; FRESHNESS_GATE_REQUIRED.</x:v>
      </x:c>
      <x:c r="Y46" s="22" t="str">
        <x:v>https://learn.chatgpt.com/docs/build-skills</x:v>
      </x:c>
    </x:row>
    <x:row r="47" ht="68" customHeight="1">
      <x:c r="A47" s="23" t="n">
        <x:v>43</x:v>
      </x:c>
      <x:c r="B47" s="22" t="str">
        <x:v>8.4.6-C/for-chat/_live/live_specs.md</x:v>
      </x:c>
      <x:c r="C47" s="22" t="str">
        <x:v>live_specs.md</x:v>
      </x:c>
      <x:c r="D47" s="22" t="str">
        <x:v>04 · for-chat: LIVE/vendor</x:v>
      </x:c>
      <x:c r="E47" s="23" t="str">
        <x:v>.md</x:v>
      </x:c>
      <x:c r="F47" s="24" t="n">
        <x:v>38568</x:v>
      </x:c>
      <x:c r="G47" s="23" t="str">
        <x:v>64C65DDA</x:v>
      </x:c>
      <x:c r="H47" s="22" t="str">
        <x:v>// ================================================================</x:v>
      </x:c>
      <x:c r="I47" s="22" t="str">
        <x:v>Bảng thông số LIVE được sinh/đóng gói; phải kiểm chứng trước khi coi là hiện hành.</x:v>
      </x:c>
      <x:c r="J47" s="22" t="str">
        <x:v>Dữ liệu LIVE &amp; model/vendor</x:v>
      </x:c>
      <x:c r="K47" s="22" t="str">
        <x:v>Bản triển khai độc lập cho Claude Chat/Projects</x:v>
      </x:c>
      <x:c r="L47" s="22" t="str">
        <x:v>Trùng byte với: 8.4.6-C/plugin/.claude/skills/p2p/vendors/live_specs.md</x:v>
      </x:c>
      <x:c r="M47" s="22" t="str">
        <x:v>source/8.4.6-C/for-chat/_live/live_specs.md</x:v>
      </x:c>
      <x:c r="N47" s="22" t="str">
        <x:v>Giữ cả các file gốc trong source snapshot; runtime chỉ kích hoạt một bản canonical để tránh nạp kép. Snapshot chỉ là bằng chứng lịch sử; lớp LIVE mới phải có nguồn và ngày kiểm chứng.</x:v>
      </x:c>
      <x:c r="O47" s="22" t="str">
        <x:v>Reference LIVE có ngày kiểm chứng</x:v>
      </x:c>
      <x:c r="P47" s="22" t="str">
        <x:v>.agents/skills/p2p/references/legacy/live/live_specs.md</x:v>
      </x:c>
      <x:c r="Q47" s="22" t="str">
        <x:v>KEEP_SOURCE + DEDUP_RUNTIME + VERIFY_LIVE</x:v>
      </x:c>
      <x:c r="R47" s="22" t="str">
        <x:v>Không nạp riêng · dữ liệu có thể cũ</x:v>
      </x:c>
      <x:c r="S47" s="22" t="str">
        <x:v>Chỉ đọc như lịch sử; kiểm tra nguồn chính thức hiện hành trước khi áp dụng</x:v>
      </x:c>
      <x:c r="T47" s="22" t="str">
        <x:v>0 · Bảo tồn &amp; đối chiếu</x:v>
      </x:c>
      <x:c r="U47" s="22" t="str">
        <x:v>P0 · Bảo tồn</x:v>
      </x:c>
      <x:c r="V47" s="22" t="str">
        <x:v>Đã giữ nguồn; phải xác minh hiện hành</x:v>
      </x:c>
      <x:c r="W47" s="22" t="str">
        <x:v>CRC nguồn khớp ZIP; chứng minh bản Codex canonical bao phủ cùng hành vi; không nạp kép.</x:v>
      </x:c>
      <x:c r="X47"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skills/p2p/references/live/live_specs.md. Đích thực tế trong gói: .agents/skills/p2p/references/legacy/live/live_specs.md. Bằng chứng: SOURCE_HASH_VERIFIED; FRESHNESS_GATE_REQUIRED.</x:v>
      </x:c>
      <x:c r="Y47" s="22" t="str">
        <x:v>https://learn.chatgpt.com/docs/extend/mcp</x:v>
      </x:c>
    </x:row>
    <x:row r="48" ht="68" customHeight="1">
      <x:c r="A48" s="23" t="n">
        <x:v>44</x:v>
      </x:c>
      <x:c r="B48" s="22" t="str">
        <x:v>8.4.6-C/for-chat/_live/live_vendors.md</x:v>
      </x:c>
      <x:c r="C48" s="22" t="str">
        <x:v>live_vendors.md</x:v>
      </x:c>
      <x:c r="D48" s="22" t="str">
        <x:v>04 · for-chat: LIVE/vendor</x:v>
      </x:c>
      <x:c r="E48" s="23" t="str">
        <x:v>.md</x:v>
      </x:c>
      <x:c r="F48" s="24" t="n">
        <x:v>20494</x:v>
      </x:c>
      <x:c r="G48" s="23" t="str">
        <x:v>B45B0812</x:v>
      </x:c>
      <x:c r="H48" s="22" t="str">
        <x:v>scope: All LLM vendor live specs for v8C.3 — API strings, costs, context windows, G-errors. Quick reference for Translation Layer and routing decisions.; version: 8.4.6-C; Tiêu đề: P2P — LIVE VENDOR SPECS (_live/live_vendors.md) / CAPABILITY MATRIX (2026-07-26)</x:v>
      </x:c>
      <x:c r="I48" s="22" t="str">
        <x:v>Ma trận model/vendor, API, chi phí và context tại thời điểm phát hành.</x:v>
      </x:c>
      <x:c r="J48" s="22" t="str">
        <x:v>Dữ liệu LIVE &amp; model/vendor</x:v>
      </x:c>
      <x:c r="K48" s="22" t="str">
        <x:v>Bản triển khai độc lập cho Claude Chat/Projects</x:v>
      </x:c>
      <x:c r="L48" s="22" t="str">
        <x:v>Cùng chức năng/biến thể triển khai với: 8.4.6-C/plugin/.claude/skills/p2p/vendors/_live_specs.md</x:v>
      </x:c>
      <x:c r="M48" s="22" t="str">
        <x:v>source/8.4.6-C/for-chat/_live/live_vendors.md</x:v>
      </x:c>
      <x:c r="N48" s="22" t="str">
        <x:v>Giữ cả các file gốc trong source snapshot; runtime chỉ kích hoạt một bản canonical để tránh nạp kép. Snapshot chỉ là bằng chứng lịch sử; lớp LIVE mới phải có nguồn và ngày kiểm chứng.</x:v>
      </x:c>
      <x:c r="O48" s="22" t="str">
        <x:v>Reference LIVE có ngày kiểm chứng</x:v>
      </x:c>
      <x:c r="P48" s="22" t="str">
        <x:v>source/8.4.6-C/for-chat/_live/live_vendors.md</x:v>
      </x:c>
      <x:c r="Q48" s="22" t="str">
        <x:v>KEEP_SOURCE + DEDUP_RUNTIME + VERIFY_LIVE</x:v>
      </x:c>
      <x:c r="R48" s="22" t="str">
        <x:v>Không nạp riêng · dữ liệu có thể cũ</x:v>
      </x:c>
      <x:c r="S48" s="22" t="str">
        <x:v>Chỉ đọc như lịch sử; kiểm tra nguồn chính thức hiện hành trước khi áp dụng</x:v>
      </x:c>
      <x:c r="T48" s="22" t="str">
        <x:v>0 · Bảo tồn &amp; đối chiếu</x:v>
      </x:c>
      <x:c r="U48" s="22" t="str">
        <x:v>P0 · Bảo tồn</x:v>
      </x:c>
      <x:c r="V48" s="22" t="str">
        <x:v>Đã giữ nguồn; phải xác minh hiện hành</x:v>
      </x:c>
      <x:c r="W48" s="22" t="str">
        <x:v>CRC nguồn khớp ZIP; chứng minh bản Codex canonical bao phủ cùng hành vi; không nạp kép.</x:v>
      </x:c>
      <x:c r="X48" s="22" t="str">
        <x:v>Đây là hình thức phân phối Claude Chat; giữ đủ nhưng không kích hoạt song song với nguồn plugin. Tên model, giá, API và context có thể thay đổi; không coi snapshot là dữ liệu hiện hành. Không tạo runtime riêng; toàn văn vẫn còn trong source snapshot và manifest truy vết. Bằng chứng: SOURCE_HASH_VERIFIED; FRESHNESS_GATE_REQUIRED.</x:v>
      </x:c>
      <x:c r="Y48" s="22" t="str">
        <x:v>https://learn.chatgpt.com/docs/extend/mcp</x:v>
      </x:c>
    </x:row>
    <x:row r="49" ht="68" customHeight="1">
      <x:c r="A49" s="23" t="n">
        <x:v>45</x:v>
      </x:c>
      <x:c r="B49" s="22" t="str">
        <x:v>8.4.6-C/for-chat/_master.md</x:v>
      </x:c>
      <x:c r="C49" s="22" t="str">
        <x:v>_master.md</x:v>
      </x:c>
      <x:c r="D49" s="22" t="str">
        <x:v>03 · for-chat: lõi/mô-đun</x:v>
      </x:c>
      <x:c r="E49" s="23" t="str">
        <x:v>.md</x:v>
      </x:c>
      <x:c r="F49" s="24" t="n">
        <x:v>4309</x:v>
      </x:c>
      <x:c r="G49" s="23" t="str">
        <x:v>98347974</x:v>
      </x:c>
      <x:c r="H49" s="22" t="str">
        <x:v>scope: _master.md — assembly instructions for single-file API deployment (v8C.3). Not for direct use — follow assembly guide.; version: 8.4.6-C; Tiêu đề: P2P — МАСТЕР СБОРКИ (_master.md) / ЗАЧЕМ _master.md</x:v>
      </x:c>
      <x:c r="I49" s="22" t="str">
        <x:v>Hướng dẫn ghép các module thành bản một file cho API/chat.</x:v>
      </x:c>
      <x:c r="J49" s="22" t="str">
        <x:v>Lõi &amp; điều phối</x:v>
      </x:c>
      <x:c r="K49" s="22" t="str">
        <x:v>Bản triển khai độc lập cho Claude Chat/Projects</x:v>
      </x:c>
      <x:c r="L49" s="22" t="str">
        <x:v>Cùng chức năng/biến thể triển khai với: 8.4.6-C/plugin/.claude/skills/p2p/master.md</x:v>
      </x:c>
      <x:c r="M49" s="22" t="str">
        <x:v>source/8.4.6-C/for-chat/_master.md</x:v>
      </x:c>
      <x:c r="N49" s="22" t="str">
        <x:v>Giữ cả các file gốc trong source snapshot; runtime chỉ kích hoạt một bản canonical để tránh nạp kép.</x:v>
      </x:c>
      <x:c r="O49" s="22" t="str">
        <x:v>Tài liệu API/assembly</x:v>
      </x:c>
      <x:c r="P49" s="22" t="str">
        <x:v>.agents/skills/p2p/references/legacy/master.md</x:v>
      </x:c>
      <x:c r="Q49" s="22" t="str">
        <x:v>KEEP_SOURCE + DEDUP_RUNTIME</x:v>
      </x:c>
      <x:c r="R49" s="22" t="str">
        <x:v>Không nạp riêng · dùng bản canonical</x:v>
      </x:c>
      <x:c r="S49" s="22" t="str">
        <x:v>Skill Codex chỉ đọc reference này khi nhiệm vụ cần; không preload toàn bộ</x:v>
      </x:c>
      <x:c r="T49" s="22" t="str">
        <x:v>0 · Bảo tồn &amp; đối chiếu</x:v>
      </x:c>
      <x:c r="U49" s="22" t="str">
        <x:v>P0 · Bảo tồn</x:v>
      </x:c>
      <x:c r="V49" s="22" t="str">
        <x:v>Đã giữ reference; nạp theo nhu cầu</x:v>
      </x:c>
      <x:c r="W49" s="22" t="str">
        <x:v>CRC nguồn khớp ZIP; chứng minh bản Codex canonical bao phủ cùng hành vi; không nạp kép.</x:v>
      </x:c>
      <x:c r="X49" s="22" t="str">
        <x:v>Đây là hình thức phân phối Claude Chat; giữ đủ nhưng không kích hoạt song song với nguồn plugin. Một số metadata còn nhắc v8C.2; cần ghi rõ là lịch sử/assembly cũ trước khi dùng. Đích đề xuất ban đầu: docs/api-assembly.md. Đích thực tế trong gói: .agents/skills/p2p/references/legacy/master.md. Bằng chứng: SOURCE_HASH_VERIFIED; TARGET_PRESENT; ON_DEMAND_LOAD.</x:v>
      </x:c>
      <x:c r="Y49" s="22" t="str">
        <x:v>https://learn.chatgpt.com/docs/build-skills</x:v>
      </x:c>
    </x:row>
    <x:row r="50" ht="68" customHeight="1">
      <x:c r="A50" s="23" t="n">
        <x:v>46</x:v>
      </x:c>
      <x:c r="B50" s="22" t="str">
        <x:v>8.4.6-C/for-chat/_preloader.md</x:v>
      </x:c>
      <x:c r="C50" s="22" t="str">
        <x:v>_preloader.md</x:v>
      </x:c>
      <x:c r="D50" s="22" t="str">
        <x:v>03 · for-chat: lõi/mô-đun</x:v>
      </x:c>
      <x:c r="E50" s="23" t="str">
        <x:v>.md</x:v>
      </x:c>
      <x:c r="F50" s="24" t="n">
        <x:v>10550</x:v>
      </x:c>
      <x:c r="G50" s="23" t="str">
        <x:v>A8719994</x:v>
      </x:c>
      <x:c r="H50" s="22" t="str">
        <x:v>scope: P2P entry point — environment detection, USER_CONTEXT, PROJECT_CARD, VERSION_COMPAT (v8C.2/v8C.3/module flags), TRI_MODE_BRIDGE v3, load order. Always loaded first.; version: 8.4.6-C; Tiêu đề: P2P — PRELOADER (_preloader.md) / STEP 1 — ENVIRONMENT DETECTION (TRI_MODE_BRIDGE v3)</x:v>
      </x:c>
      <x:c r="I50" s="22" t="str">
        <x:v>Điểm vào: nhận diện môi trường, đọc cấu hình người dùng/dự án và khai báo thứ tự nạp.</x:v>
      </x:c>
      <x:c r="J50" s="22" t="str">
        <x:v>Lõi &amp; điều phối</x:v>
      </x:c>
      <x:c r="K50" s="22" t="str">
        <x:v>Bản triển khai độc lập cho Claude Chat/Projects</x:v>
      </x:c>
      <x:c r="L50" s="22" t="str">
        <x:v>Cùng chức năng/biến thể triển khai với: 8.4.6-C/plugin/.claude/skills/p2p/preloader.md</x:v>
      </x:c>
      <x:c r="M50" s="22" t="str">
        <x:v>source/8.4.6-C/for-chat/_preloader.md</x:v>
      </x:c>
      <x:c r="N50" s="22" t="str">
        <x:v>Giữ cả các file gốc trong source snapshot; runtime chỉ kích hoạt một bản canonical để tránh nạp kép.</x:v>
      </x:c>
      <x:c r="O50" s="22" t="str">
        <x:v>Reference on-demand</x:v>
      </x:c>
      <x:c r="P50" s="22" t="str">
        <x:v>.agents/skills/p2p/references/legacy/preloader.md</x:v>
      </x:c>
      <x:c r="Q50" s="22" t="str">
        <x:v>KEEP_SOURCE + DEDUP_RUNTIME</x:v>
      </x:c>
      <x:c r="R50" s="22" t="str">
        <x:v>Không nạp riêng · dùng bản canonical</x:v>
      </x:c>
      <x:c r="S50" s="22" t="str">
        <x:v>Skill Codex chỉ đọc reference này khi nhiệm vụ cần; không preload toàn bộ</x:v>
      </x:c>
      <x:c r="T50" s="22" t="str">
        <x:v>0 · Bảo tồn &amp; đối chiếu</x:v>
      </x:c>
      <x:c r="U50" s="22" t="str">
        <x:v>P0 · Bảo tồn</x:v>
      </x:c>
      <x:c r="V50" s="22" t="str">
        <x:v>Đã giữ reference; nạp theo nhu cầu</x:v>
      </x:c>
      <x:c r="W50" s="22" t="str">
        <x:v>CRC nguồn khớp ZIP; chứng minh bản Codex canonical bao phủ cùng hành vi; không nạp kép.</x:v>
      </x:c>
      <x:c r="X50" s="22" t="str">
        <x:v>Đây là hình thức phân phối Claude Chat; giữ đủ nhưng không kích hoạt song song với nguồn plugin. Đích đề xuất ban đầu: skills/p2p/references/preloader.md. Đích thực tế trong gói: .agents/skills/p2p/references/legacy/preloader.md. Bằng chứng: SOURCE_HASH_VERIFIED; TARGET_PRESENT; ON_DEMAND_LOAD.</x:v>
      </x:c>
      <x:c r="Y50" s="22" t="str">
        <x:v>https://learn.chatgpt.com/docs/build-skills</x:v>
      </x:c>
    </x:row>
    <x:row r="51" ht="68" customHeight="1">
      <x:c r="A51" s="23" t="n">
        <x:v>47</x:v>
      </x:c>
      <x:c r="B51" s="22" t="str">
        <x:v>8.4.6-C/for-chat/docs/CHANGELOG_v8C3.md</x:v>
      </x:c>
      <x:c r="C51" s="22" t="str">
        <x:v>CHANGELOG_v8C3.md</x:v>
      </x:c>
      <x:c r="D51" s="22" t="str">
        <x:v>05 · for-chat: tài liệu</x:v>
      </x:c>
      <x:c r="E51" s="23" t="str">
        <x:v>.md</x:v>
      </x:c>
      <x:c r="F51" s="24" t="n">
        <x:v>5566</x:v>
      </x:c>
      <x:c r="G51" s="23" t="str">
        <x:v>26F33867</x:v>
      </x:c>
      <x:c r="H51" s="22" t="str">
        <x:v>scope: Full changelog for v8C.3 release. Covers only v8C.2 → v8C.3 changes. For earlier history see v8C.2 docs.; version: v8C.3; Tiêu đề: P2P v8C.3 — CHANGELOG / Release: v8C.3 (2026-06-12)</x:v>
      </x:c>
      <x:c r="I51" s="22" t="str">
        <x:v>Lịch sử thay đổi và các mốc phát hành để truy vết hành vi giữa các phiên bản.</x:v>
      </x:c>
      <x:c r="J51" s="22" t="str">
        <x:v>Tài liệu &amp; truy vết</x:v>
      </x:c>
      <x:c r="K51" s="22" t="str">
        <x:v>Bản triển khai độc lập cho Claude Chat/Projects</x:v>
      </x:c>
      <x:c r="L51" s="22" t="str">
        <x:v>Không phát hiện cặp tương ứng rõ ràng.</x:v>
      </x:c>
      <x:c r="M51" s="22" t="str">
        <x:v>source/8.4.6-C/for-chat/docs/CHANGELOG_v8C3.md</x:v>
      </x:c>
      <x:c r="N51" s="22" t="str">
        <x:v>Giữ nguyên byte trong source/8.4.6-C; bản Codex ghi đường dẫn nguồn và CRC.</x:v>
      </x:c>
      <x:c r="O51" s="22" t="str">
        <x:v>Tài liệu/nguồn tham khảo</x:v>
      </x:c>
      <x:c r="P51" s="22" t="str">
        <x:v>source/8.4.6-C/for-chat/docs/CHANGELOG_v8C3.md</x:v>
      </x:c>
      <x:c r="Q51" s="22" t="str">
        <x:v>KEEP_SOURCE + ADAPT_DOCS</x:v>
      </x:c>
      <x:c r="R51" s="22" t="str">
        <x:v>Cao · tài liệu cần đổi tên/cú pháp</x:v>
      </x:c>
      <x:c r="S51" s="22" t="str">
        <x:v>Không nạp bản này; chỉ dùng để đối chiếu/parity</x:v>
      </x:c>
      <x:c r="T51" s="22" t="str">
        <x:v>0 · Bảo tồn &amp; đối chiếu</x:v>
      </x:c>
      <x:c r="U51" s="22" t="str">
        <x:v>P0 · Bảo tồn</x:v>
      </x:c>
      <x:c r="V51" s="22" t="str">
        <x:v>Đã giữ nguyên nguồn; không tạo runtime riêng</x:v>
      </x:c>
      <x:c r="W51" s="22" t="str">
        <x:v>CRC nguồn khớp ZIP; chứng minh bản Codex canonical bao phủ cùng hành vi; không nạp kép.</x:v>
      </x:c>
      <x:c r="X51" s="22" t="str">
        <x:v>Đây là hình thức phân phối Claude Chat; giữ đủ nhưng không kích hoạt song song với nguồn plugin. Không tạo runtime riêng; toàn văn vẫn còn trong source snapshot và manifest truy vết. Bằng chứng: SOURCE_HASH_VERIFIED; NO_SEPARATE_RUNTIME_TARGET.</x:v>
      </x:c>
      <x:c r="Y51" s="22" t="str">
        <x:v>https://learn.chatgpt.com/docs/customization/overview</x:v>
      </x:c>
    </x:row>
    <x:row r="52" ht="68" customHeight="1">
      <x:c r="A52" s="23" t="n">
        <x:v>48</x:v>
      </x:c>
      <x:c r="B52" s="22" t="str">
        <x:v>8.4.6-C/for-chat/docs/CREDITS_TECHNIQUES.md</x:v>
      </x:c>
      <x:c r="C52" s="22" t="str">
        <x:v>CREDITS_TECHNIQUES.md</x:v>
      </x:c>
      <x:c r="D52" s="22" t="str">
        <x:v>05 · for-chat: tài liệu</x:v>
      </x:c>
      <x:c r="E52" s="23" t="str">
        <x:v>.md</x:v>
      </x:c>
      <x:c r="F52" s="24" t="n">
        <x:v>5204</x:v>
      </x:c>
      <x:c r="G52" s="23" t="str">
        <x:v>BA80EB3C</x:v>
      </x:c>
      <x:c r="H52" s="22" t="str">
        <x:v>Tiêu đề: CREDITS — источники техник промпт-инжиниринга (P2P v8*.4) / Внедрённые техники (copy-paste)</x:v>
      </x:c>
      <x:c r="I52" s="22" t="str">
        <x:v>Danh mục nguồn và kỹ thuật prompt-engineering đã được tác giả tích hợp.</x:v>
      </x:c>
      <x:c r="J52" s="22" t="str">
        <x:v>Tài liệu &amp; truy vết</x:v>
      </x:c>
      <x:c r="K52" s="22" t="str">
        <x:v>Bản triển khai độc lập cho Claude Chat/Projects</x:v>
      </x:c>
      <x:c r="L52" s="22" t="str">
        <x:v>Trùng byte với: 8.4.6-C/docs/CREDITS_TECHNIQUES.md</x:v>
      </x:c>
      <x:c r="M52" s="22" t="str">
        <x:v>source/8.4.6-C/for-chat/docs/CREDITS_TECHNIQUES.md</x:v>
      </x:c>
      <x:c r="N52" s="22" t="str">
        <x:v>Giữ cả các file gốc trong source snapshot; runtime chỉ kích hoạt một bản canonical để tránh nạp kép.</x:v>
      </x:c>
      <x:c r="O52" s="22" t="str">
        <x:v>Tài liệu/nguồn tham khảo</x:v>
      </x:c>
      <x:c r="P52" s="22" t="str">
        <x:v>NOTICE.md</x:v>
      </x:c>
      <x:c r="Q52" s="22" t="str">
        <x:v>KEEP_SOURCE + ADAPT_DOCS</x:v>
      </x:c>
      <x:c r="R52" s="22" t="str">
        <x:v>Cao · tài liệu cần đổi tên/cú pháp</x:v>
      </x:c>
      <x:c r="S52" s="22" t="str">
        <x:v>Không nạp bản này; chỉ dùng để đối chiếu/parity</x:v>
      </x:c>
      <x:c r="T52" s="22" t="str">
        <x:v>0 · Bảo tồn &amp; đối chiếu</x:v>
      </x:c>
      <x:c r="U52" s="22" t="str">
        <x:v>P0 · Bảo tồn</x:v>
      </x:c>
      <x:c r="V52" s="22" t="str">
        <x:v>Đã giữ nguồn và có bản thích nghi Codex</x:v>
      </x:c>
      <x:c r="W52" s="22" t="str">
        <x:v>CRC nguồn khớp ZIP; chứng minh bản Codex canonical bao phủ cùng hành vi; không nạp kép.</x:v>
      </x:c>
      <x:c r="X52" s="22" t="str">
        <x:v>Đây là hình thức phân phối Claude Chat; giữ đủ nhưng không kích hoạt song song với nguồn plugin. Đích đề xuất ban đầu: docs/for-chat/docs/CREDITS_TECHNIQUES.md. Đích thực tế trong gói: NOTICE.md. Bằng chứng: SOURCE_HASH_VERIFIED; ADAPTED_TARGET_PRESENT.</x:v>
      </x:c>
      <x:c r="Y52" s="22" t="str">
        <x:v>https://learn.chatgpt.com/docs/customization/overview</x:v>
      </x:c>
    </x:row>
    <x:row r="53" ht="68" customHeight="1">
      <x:c r="A53" s="23" t="n">
        <x:v>49</x:v>
      </x:c>
      <x:c r="B53" s="22" t="str">
        <x:v>8.4.6-C/for-chat/docs/INSTALL_GUIDE.md</x:v>
      </x:c>
      <x:c r="C53" s="22" t="str">
        <x:v>INSTALL_GUIDE.md</x:v>
      </x:c>
      <x:c r="D53" s="22" t="str">
        <x:v>05 · for-chat: tài liệu</x:v>
      </x:c>
      <x:c r="E53" s="23" t="str">
        <x:v>.md</x:v>
      </x:c>
      <x:c r="F53" s="24" t="n">
        <x:v>7456</x:v>
      </x:c>
      <x:c r="G53" s="23" t="str">
        <x:v>1351FB65</x:v>
      </x:c>
      <x:c r="H53" s="22" t="str">
        <x:v>scope: Установка P2P v8C.3 и переход с v8C.2. Не содержит информации о переходе с более ранних версий.; version: v8C.3; Tiêu đề: P2P v8C.3 — РУКОВОДСТВО ПО УСТАНОВКЕ / ЧТО НОВОГО В v8C.3 (если ты с v8C.2)</x:v>
      </x:c>
      <x:c r="I53" s="22" t="str">
        <x:v>Hướng dẫn cài đặt, cập nhật và kiểm tra các hình thức phân phối P2P.</x:v>
      </x:c>
      <x:c r="J53" s="22" t="str">
        <x:v>Tài liệu &amp; truy vết</x:v>
      </x:c>
      <x:c r="K53" s="22" t="str">
        <x:v>Bản triển khai độc lập cho Claude Chat/Projects</x:v>
      </x:c>
      <x:c r="L53" s="22" t="str">
        <x:v>Không phát hiện cặp tương ứng rõ ràng.</x:v>
      </x:c>
      <x:c r="M53" s="22" t="str">
        <x:v>source/8.4.6-C/for-chat/docs/INSTALL_GUIDE.md</x:v>
      </x:c>
      <x:c r="N53" s="22" t="str">
        <x:v>Giữ nguyên byte trong source/8.4.6-C; bản Codex ghi đường dẫn nguồn và CRC.</x:v>
      </x:c>
      <x:c r="O53" s="22" t="str">
        <x:v>Tài liệu/nguồn tham khảo</x:v>
      </x:c>
      <x:c r="P53" s="22" t="str">
        <x:v>BAT-DAU.md</x:v>
      </x:c>
      <x:c r="Q53" s="22" t="str">
        <x:v>KEEP_SOURCE + ADAPT_DOCS</x:v>
      </x:c>
      <x:c r="R53" s="22" t="str">
        <x:v>Cao · tài liệu cần đổi tên/cú pháp</x:v>
      </x:c>
      <x:c r="S53" s="22" t="str">
        <x:v>Không nạp bản này; chỉ dùng để đối chiếu/parity</x:v>
      </x:c>
      <x:c r="T53" s="22" t="str">
        <x:v>0 · Bảo tồn &amp; đối chiếu</x:v>
      </x:c>
      <x:c r="U53" s="22" t="str">
        <x:v>P0 · Bảo tồn</x:v>
      </x:c>
      <x:c r="V53" s="22" t="str">
        <x:v>Đã giữ nguồn và có bản thích nghi Codex</x:v>
      </x:c>
      <x:c r="W53" s="22" t="str">
        <x:v>CRC nguồn khớp ZIP; chứng minh bản Codex canonical bao phủ cùng hành vi; không nạp kép.</x:v>
      </x:c>
      <x:c r="X53" s="22" t="str">
        <x:v>Đây là hình thức phân phối Claude Chat; giữ đủ nhưng không kích hoạt song song với nguồn plugin. Đích đề xuất ban đầu: docs/for-chat/docs/INSTALL_GUIDE.md. Đích thực tế trong gói: BAT-DAU.md. Bằng chứng: SOURCE_HASH_VERIFIED; ADAPTED_TARGET_PRESENT.</x:v>
      </x:c>
      <x:c r="Y53" s="22" t="str">
        <x:v>https://learn.chatgpt.com/docs/customization/overview</x:v>
      </x:c>
    </x:row>
    <x:row r="54" ht="68" customHeight="1">
      <x:c r="A54" s="23" t="n">
        <x:v>50</x:v>
      </x:c>
      <x:c r="B54" s="22" t="str">
        <x:v>8.4.6-C/for-chat/docs/MINDMAP_v8C3.md</x:v>
      </x:c>
      <x:c r="C54" s="22" t="str">
        <x:v>MINDMAP_v8C3.md</x:v>
      </x:c>
      <x:c r="D54" s="22" t="str">
        <x:v>05 · for-chat: tài liệu</x:v>
      </x:c>
      <x:c r="E54" s="23" t="str">
        <x:v>.md</x:v>
      </x:c>
      <x:c r="F54" s="24" t="n">
        <x:v>13109</x:v>
      </x:c>
      <x:c r="G54" s="23" t="str">
        <x:v>9516991C</x:v>
      </x:c>
      <x:c r="H54" s="22" t="str">
        <x:v>Tiêu đề: 🧬 P2P v8C.3 — SYSTEM ARCHITECTURE MAP / ==============================================================================</x:v>
      </x:c>
      <x:c r="I54" s="22" t="str">
        <x:v>Sơ đồ kiến trúc tổng thể, quan hệ phụ thuộc và thứ tự nạp của P2P.</x:v>
      </x:c>
      <x:c r="J54" s="22" t="str">
        <x:v>Tài liệu &amp; truy vết</x:v>
      </x:c>
      <x:c r="K54" s="22" t="str">
        <x:v>Bản triển khai độc lập cho Claude Chat/Projects</x:v>
      </x:c>
      <x:c r="L54" s="22" t="str">
        <x:v>Không phát hiện cặp tương ứng rõ ràng.</x:v>
      </x:c>
      <x:c r="M54" s="22" t="str">
        <x:v>source/8.4.6-C/for-chat/docs/MINDMAP_v8C3.md</x:v>
      </x:c>
      <x:c r="N54" s="22" t="str">
        <x:v>Giữ nguyên byte trong source/8.4.6-C; bản Codex ghi đường dẫn nguồn và CRC.</x:v>
      </x:c>
      <x:c r="O54" s="22" t="str">
        <x:v>Tài liệu/nguồn tham khảo</x:v>
      </x:c>
      <x:c r="P54" s="22" t="str">
        <x:v>docs/KIEN-TRUC.md</x:v>
      </x:c>
      <x:c r="Q54" s="22" t="str">
        <x:v>KEEP_SOURCE + ADAPT_DOCS</x:v>
      </x:c>
      <x:c r="R54" s="22" t="str">
        <x:v>Cao · tài liệu cần đổi tên/cú pháp</x:v>
      </x:c>
      <x:c r="S54" s="22" t="str">
        <x:v>Không nạp bản này; chỉ dùng để đối chiếu/parity</x:v>
      </x:c>
      <x:c r="T54" s="22" t="str">
        <x:v>0 · Bảo tồn &amp; đối chiếu</x:v>
      </x:c>
      <x:c r="U54" s="22" t="str">
        <x:v>P0 · Bảo tồn</x:v>
      </x:c>
      <x:c r="V54" s="22" t="str">
        <x:v>Đã giữ nguồn và có bản thích nghi Codex</x:v>
      </x:c>
      <x:c r="W54" s="22" t="str">
        <x:v>CRC nguồn khớp ZIP; chứng minh bản Codex canonical bao phủ cùng hành vi; không nạp kép.</x:v>
      </x:c>
      <x:c r="X54" s="22" t="str">
        <x:v>Đây là hình thức phân phối Claude Chat; giữ đủ nhưng không kích hoạt song song với nguồn plugin. Đích đề xuất ban đầu: docs/for-chat/docs/MINDMAP_v8C3.md. Đích thực tế trong gói: docs/KIEN-TRUC.md. Bằng chứng: SOURCE_HASH_VERIFIED; ADAPTED_TARGET_PRESENT.</x:v>
      </x:c>
      <x:c r="Y54" s="22" t="str">
        <x:v>https://learn.chatgpt.com/docs/customization/overview</x:v>
      </x:c>
    </x:row>
    <x:row r="55" ht="68" customHeight="1">
      <x:c r="A55" s="23" t="n">
        <x:v>51</x:v>
      </x:c>
      <x:c r="B55" s="22" t="str">
        <x:v>8.4.6-C/for-chat/docs/MODES_GUIDE.md</x:v>
      </x:c>
      <x:c r="C55" s="22" t="str">
        <x:v>MODES_GUIDE.md</x:v>
      </x:c>
      <x:c r="D55" s="22" t="str">
        <x:v>05 · for-chat: tài liệu</x:v>
      </x:c>
      <x:c r="E55" s="23" t="str">
        <x:v>.md</x:v>
      </x:c>
      <x:c r="F55" s="24" t="n">
        <x:v>4939</x:v>
      </x:c>
      <x:c r="G55" s="23" t="str">
        <x:v>6DD60A8D</x:v>
      </x:c>
      <x:c r="H55" s="22" t="str">
        <x:v>scope: Пользовательский гайд по режимам P2P v8C.3 (PILOT, SHERPA) + ASCII-баннеры для визуального узнавания.; version: v8C.3; Tiêu đề: P2P v8C.3 — Гайд по режимам / ✈ PILOT — насколько активно P2P тебе помогает</x:v>
      </x:c>
      <x:c r="I55" s="22" t="str">
        <x:v>Giải thích các chế độ PILOT/SHERPA và cách nhận biết chúng.</x:v>
      </x:c>
      <x:c r="J55" s="22" t="str">
        <x:v>Tài liệu &amp; truy vết</x:v>
      </x:c>
      <x:c r="K55" s="22" t="str">
        <x:v>Bản triển khai độc lập cho Claude Chat/Projects</x:v>
      </x:c>
      <x:c r="L55" s="22" t="str">
        <x:v>Không phát hiện cặp tương ứng rõ ràng.</x:v>
      </x:c>
      <x:c r="M55" s="22" t="str">
        <x:v>source/8.4.6-C/for-chat/docs/MODES_GUIDE.md</x:v>
      </x:c>
      <x:c r="N55" s="22" t="str">
        <x:v>Giữ nguyên byte trong source/8.4.6-C; bản Codex ghi đường dẫn nguồn và CRC.</x:v>
      </x:c>
      <x:c r="O55" s="22" t="str">
        <x:v>Tài liệu/nguồn tham khảo</x:v>
      </x:c>
      <x:c r="P55" s="22" t="str">
        <x:v>.agents/skills/p2p/references/modes.md</x:v>
      </x:c>
      <x:c r="Q55" s="22" t="str">
        <x:v>KEEP_SOURCE + ADAPT_DOCS</x:v>
      </x:c>
      <x:c r="R55" s="22" t="str">
        <x:v>Cao · tài liệu cần đổi tên/cú pháp</x:v>
      </x:c>
      <x:c r="S55" s="22" t="str">
        <x:v>Skill Codex chỉ đọc reference này khi nhiệm vụ cần; không preload toàn bộ</x:v>
      </x:c>
      <x:c r="T55" s="22" t="str">
        <x:v>0 · Bảo tồn &amp; đối chiếu</x:v>
      </x:c>
      <x:c r="U55" s="22" t="str">
        <x:v>P0 · Bảo tồn</x:v>
      </x:c>
      <x:c r="V55" s="22" t="str">
        <x:v>Đã giữ reference; nạp theo nhu cầu</x:v>
      </x:c>
      <x:c r="W55" s="22" t="str">
        <x:v>CRC nguồn khớp ZIP; chứng minh bản Codex canonical bao phủ cùng hành vi; không nạp kép.</x:v>
      </x:c>
      <x:c r="X55" s="22" t="str">
        <x:v>Đây là hình thức phân phối Claude Chat; giữ đủ nhưng không kích hoạt song song với nguồn plugin. Đích đề xuất ban đầu: docs/for-chat/docs/MODES_GUIDE.md. Đích thực tế trong gói: .agents/skills/p2p/references/modes.md. Bằng chứng: SOURCE_HASH_VERIFIED; TARGET_PRESENT; ON_DEMAND_LOAD.</x:v>
      </x:c>
      <x:c r="Y55" s="22" t="str">
        <x:v>https://learn.chatgpt.com/docs/customization/overview</x:v>
      </x:c>
    </x:row>
    <x:row r="56" ht="68" customHeight="1">
      <x:c r="A56" s="23" t="n">
        <x:v>52</x:v>
      </x:c>
      <x:c r="B56" s="22" t="str">
        <x:v>8.4.6-C/for-chat/docs/MODULE_REFERENCE.md</x:v>
      </x:c>
      <x:c r="C56" s="22" t="str">
        <x:v>MODULE_REFERENCE.md</x:v>
      </x:c>
      <x:c r="D56" s="22" t="str">
        <x:v>05 · for-chat: tài liệu</x:v>
      </x:c>
      <x:c r="E56" s="23" t="str">
        <x:v>.md</x:v>
      </x:c>
      <x:c r="F56" s="24" t="n">
        <x:v>11577</x:v>
      </x:c>
      <x:c r="G56" s="23" t="str">
        <x:v>DB9566AB</x:v>
      </x:c>
      <x:c r="H56" s="22" t="str">
        <x:v>scope: Справочник всех файлов P2P v8C.3 — назначение, токен-бюджет, зависимости, когда загружать.; version: v8C.3; Tiêu đề: P2P v8C.3 — MODULE REFERENCE (docs/MODULE_REFERENCE.md) / БАЗОВЫЕ ФАЙЛЫ (BASE — загружаются всегда)</x:v>
      </x:c>
      <x:c r="I56" s="22" t="str">
        <x:v>Từ điển module: mục đích, ngân sách token, phụ thuộc và lúc cần nạp.</x:v>
      </x:c>
      <x:c r="J56" s="22" t="str">
        <x:v>Tài liệu &amp; truy vết</x:v>
      </x:c>
      <x:c r="K56" s="22" t="str">
        <x:v>Bản triển khai độc lập cho Claude Chat/Projects</x:v>
      </x:c>
      <x:c r="L56" s="22" t="str">
        <x:v>Không phát hiện cặp tương ứng rõ ràng.</x:v>
      </x:c>
      <x:c r="M56" s="22" t="str">
        <x:v>source/8.4.6-C/for-chat/docs/MODULE_REFERENCE.md</x:v>
      </x:c>
      <x:c r="N56" s="22" t="str">
        <x:v>Giữ nguyên byte trong source/8.4.6-C; bản Codex ghi đường dẫn nguồn và CRC.</x:v>
      </x:c>
      <x:c r="O56" s="22" t="str">
        <x:v>Tài liệu/nguồn tham khảo</x:v>
      </x:c>
      <x:c r="P56" s="22" t="str">
        <x:v>.agents/skills/p2p/references/module-index.md</x:v>
      </x:c>
      <x:c r="Q56" s="22" t="str">
        <x:v>KEEP_SOURCE + ADAPT_DOCS</x:v>
      </x:c>
      <x:c r="R56" s="22" t="str">
        <x:v>Cao · tài liệu cần đổi tên/cú pháp</x:v>
      </x:c>
      <x:c r="S56" s="22" t="str">
        <x:v>Skill Codex chỉ đọc reference này khi nhiệm vụ cần; không preload toàn bộ</x:v>
      </x:c>
      <x:c r="T56" s="22" t="str">
        <x:v>0 · Bảo tồn &amp; đối chiếu</x:v>
      </x:c>
      <x:c r="U56" s="22" t="str">
        <x:v>P0 · Bảo tồn</x:v>
      </x:c>
      <x:c r="V56" s="22" t="str">
        <x:v>Đã giữ reference; nạp theo nhu cầu</x:v>
      </x:c>
      <x:c r="W56" s="22" t="str">
        <x:v>CRC nguồn khớp ZIP; chứng minh bản Codex canonical bao phủ cùng hành vi; không nạp kép.</x:v>
      </x:c>
      <x:c r="X56" s="22" t="str">
        <x:v>Đây là hình thức phân phối Claude Chat; giữ đủ nhưng không kích hoạt song song với nguồn plugin. Đích đề xuất ban đầu: docs/for-chat/docs/MODULE_REFERENCE.md. Đích thực tế trong gói: .agents/skills/p2p/references/module-index.md. Bằng chứng: SOURCE_HASH_VERIFIED; TARGET_PRESENT; ON_DEMAND_LOAD.</x:v>
      </x:c>
      <x:c r="Y56" s="22" t="str">
        <x:v>https://learn.chatgpt.com/docs/customization/overview</x:v>
      </x:c>
    </x:row>
    <x:row r="57" ht="68" customHeight="1">
      <x:c r="A57" s="23" t="n">
        <x:v>53</x:v>
      </x:c>
      <x:c r="B57" s="22" t="str">
        <x:v>8.4.6-C/for-chat/docs/TECHNIQUES_v8C3.md</x:v>
      </x:c>
      <x:c r="C57" s="22" t="str">
        <x:v>TECHNIQUES_v8C3.md</x:v>
      </x:c>
      <x:c r="D57" s="22" t="str">
        <x:v>05 · for-chat: tài liệu</x:v>
      </x:c>
      <x:c r="E57" s="23" t="str">
        <x:v>.md</x:v>
      </x:c>
      <x:c r="F57" s="24" t="n">
        <x:v>12868</x:v>
      </x:c>
      <x:c r="G57" s="23" t="str">
        <x:v>4A118820</x:v>
      </x:c>
      <x:c r="H57" s="22" t="str">
        <x:v>scope: Описание всех новых техник интегрированных в P2P v8C.3 — что это, как работает, как активировать, как использовать. С указанием первоисточников (open source).; version: v8C.3; Tiêu đề: P2P v8C.3 — НОВЫЕ ТЕХНИКИ (docs/TECHNIQUES_v8C3.md) / МОДУЛЬ !rag.md — RAG ТЕХНИКИ</x:v>
      </x:c>
      <x:c r="I57" s="22" t="str">
        <x:v>Tài liệu giải thích các kỹ thuật mới, cách kích hoạt và nguồn tham khảo.</x:v>
      </x:c>
      <x:c r="J57" s="22" t="str">
        <x:v>Tài liệu &amp; truy vết</x:v>
      </x:c>
      <x:c r="K57" s="22" t="str">
        <x:v>Bản triển khai độc lập cho Claude Chat/Projects</x:v>
      </x:c>
      <x:c r="L57" s="22" t="str">
        <x:v>Không phát hiện cặp tương ứng rõ ràng.</x:v>
      </x:c>
      <x:c r="M57" s="22" t="str">
        <x:v>source/8.4.6-C/for-chat/docs/TECHNIQUES_v8C3.md</x:v>
      </x:c>
      <x:c r="N57" s="22" t="str">
        <x:v>Giữ nguyên byte trong source/8.4.6-C; bản Codex ghi đường dẫn nguồn và CRC.</x:v>
      </x:c>
      <x:c r="O57" s="22" t="str">
        <x:v>Tài liệu/nguồn tham khảo</x:v>
      </x:c>
      <x:c r="P57" s="22" t="str">
        <x:v>.agents/skills/p2p/references/module-index.md</x:v>
      </x:c>
      <x:c r="Q57" s="22" t="str">
        <x:v>KEEP_SOURCE + ADAPT_DOCS</x:v>
      </x:c>
      <x:c r="R57" s="22" t="str">
        <x:v>Cao · tài liệu cần đổi tên/cú pháp</x:v>
      </x:c>
      <x:c r="S57" s="22" t="str">
        <x:v>Skill Codex chỉ đọc reference này khi nhiệm vụ cần; không preload toàn bộ</x:v>
      </x:c>
      <x:c r="T57" s="22" t="str">
        <x:v>0 · Bảo tồn &amp; đối chiếu</x:v>
      </x:c>
      <x:c r="U57" s="22" t="str">
        <x:v>P0 · Bảo tồn</x:v>
      </x:c>
      <x:c r="V57" s="22" t="str">
        <x:v>Đã giữ reference; nạp theo nhu cầu</x:v>
      </x:c>
      <x:c r="W57" s="22" t="str">
        <x:v>CRC nguồn khớp ZIP; chứng minh bản Codex canonical bao phủ cùng hành vi; không nạp kép.</x:v>
      </x:c>
      <x:c r="X57" s="22" t="str">
        <x:v>Đây là hình thức phân phối Claude Chat; giữ đủ nhưng không kích hoạt song song với nguồn plugin. Đích đề xuất ban đầu: docs/for-chat/docs/TECHNIQUES_v8C3.md. Đích thực tế trong gói: .agents/skills/p2p/references/module-index.md. Bằng chứng: SOURCE_HASH_VERIFIED; TARGET_PRESENT; ON_DEMAND_LOAD.</x:v>
      </x:c>
      <x:c r="Y57" s="22" t="str">
        <x:v>https://learn.chatgpt.com/docs/customization/overview</x:v>
      </x:c>
    </x:row>
    <x:row r="58" ht="68" customHeight="1">
      <x:c r="A58" s="23" t="n">
        <x:v>54</x:v>
      </x:c>
      <x:c r="B58" s="22" t="str">
        <x:v>8.4.6-C/for-chat/docs/ЧТО_ЗАГРУЖАТЬ.txt</x:v>
      </x:c>
      <x:c r="C58" s="22" t="str">
        <x:v>ЧТО_ЗАГРУЖАТЬ.txt</x:v>
      </x:c>
      <x:c r="D58" s="22" t="str">
        <x:v>05 · for-chat: tài liệu</x:v>
      </x:c>
      <x:c r="E58" s="23" t="str">
        <x:v>.txt</x:v>
      </x:c>
      <x:c r="F58" s="24" t="n">
        <x:v>8439</x:v>
      </x:c>
      <x:c r="G58" s="23" t="str">
        <x:v>AB58F99E</x:v>
      </x:c>
      <x:c r="H58" s="22" t="str">
        <x:v>================================================================================</x:v>
      </x:c>
      <x:c r="I58" s="22" t="str">
        <x:v>Checklist ngắn cho người dùng biết cần tải/nạp file nào theo từng tình huống.</x:v>
      </x:c>
      <x:c r="J58" s="22" t="str">
        <x:v>Tài liệu &amp; truy vết</x:v>
      </x:c>
      <x:c r="K58" s="22" t="str">
        <x:v>Bản triển khai độc lập cho Claude Chat/Projects</x:v>
      </x:c>
      <x:c r="L58" s="22" t="str">
        <x:v>Không phát hiện cặp tương ứng rõ ràng.</x:v>
      </x:c>
      <x:c r="M58" s="22" t="str">
        <x:v>source/8.4.6-C/for-chat/docs/ЧТО_ЗАГРУЖАТЬ.txt</x:v>
      </x:c>
      <x:c r="N58" s="22" t="str">
        <x:v>Giữ nguyên byte trong source/8.4.6-C; bản Codex ghi đường dẫn nguồn và CRC.</x:v>
      </x:c>
      <x:c r="O58" s="22" t="str">
        <x:v>Tài liệu Codex</x:v>
      </x:c>
      <x:c r="P58" s="22" t="str">
        <x:v>BAT-DAU.md</x:v>
      </x:c>
      <x:c r="Q58" s="22" t="str">
        <x:v>KEEP_SOURCE + ADAPT_DOCS</x:v>
      </x:c>
      <x:c r="R58" s="22" t="str">
        <x:v>Cao · tài liệu cần đổi tên/cú pháp</x:v>
      </x:c>
      <x:c r="S58" s="22" t="str">
        <x:v>Không nạp bản này; chỉ dùng để đối chiếu/parity</x:v>
      </x:c>
      <x:c r="T58" s="22" t="str">
        <x:v>0 · Bảo tồn &amp; đối chiếu</x:v>
      </x:c>
      <x:c r="U58" s="22" t="str">
        <x:v>P0 · Bảo tồn</x:v>
      </x:c>
      <x:c r="V58" s="22" t="str">
        <x:v>Đã giữ nguồn và có bản thích nghi Codex</x:v>
      </x:c>
      <x:c r="W58" s="22" t="str">
        <x:v>CRC nguồn khớp ZIP; chứng minh bản Codex canonical bao phủ cùng hành vi; không nạp kép.</x:v>
      </x:c>
      <x:c r="X58" s="22" t="str">
        <x:v>Đây là hình thức phân phối Claude Chat; giữ đủ nhưng không kích hoạt song song với nguồn plugin. Đích đề xuất ban đầu: docs/CAN-NAP-GI.md. Đích thực tế trong gói: BAT-DAU.md. Bằng chứng: SOURCE_HASH_VERIFIED; ADAPTED_TARGET_PRESENT.</x:v>
      </x:c>
      <x:c r="Y58" s="22" t="str">
        <x:v>https://learn.chatgpt.com/docs/customization/overview</x:v>
      </x:c>
    </x:row>
    <x:row r="59" ht="68" customHeight="1">
      <x:c r="A59" s="23" t="n">
        <x:v>55</x:v>
      </x:c>
      <x:c r="B59" s="22" t="str">
        <x:v>8.4.6-C/for-chat/vendors/tier1.md</x:v>
      </x:c>
      <x:c r="C59" s="22" t="str">
        <x:v>tier1.md</x:v>
      </x:c>
      <x:c r="D59" s="22" t="str">
        <x:v>04 · for-chat: LIVE/vendor</x:v>
      </x:c>
      <x:c r="E59" s="23" t="str">
        <x:v>.md</x:v>
      </x:c>
      <x:c r="F59" s="24" t="n">
        <x:v>4965</x:v>
      </x:c>
      <x:c r="G59" s="23" t="str">
        <x:v>1E68D4BB</x:v>
      </x:c>
      <x:c r="H59" s="22" t="str">
        <x:v>scope: Tier 1 budget models — Gemini 3.5 Flash-Lite, DeepSeek V4-Flash, Qwen 3.6-Plus, Kimi K2.6/K2.7, GLM-5.1, GPT-5.6 Luna. For T0-2 high-volume or cost-sensitive tasks.; version: 8.4.6-C; Tiêu đề: P2P — VENDORS TIER 1 (Budget) / Gemini 3.5 Flash-Lite (самый дешёвый уровень)</x:v>
      </x:c>
      <x:c r="I59" s="22" t="str">
        <x:v>Nhóm mô hình ngân sách thấp cho tác vụ khối lượng lớn theo ảnh chụp phát hành.</x:v>
      </x:c>
      <x:c r="J59" s="22" t="str">
        <x:v>Dữ liệu LIVE &amp; model/vendor</x:v>
      </x:c>
      <x:c r="K59" s="22" t="str">
        <x:v>Bản triển khai độc lập cho Claude Chat/Projects</x:v>
      </x:c>
      <x:c r="L59" s="22" t="str">
        <x:v>Trùng byte với: 8.4.6-C/plugin/.claude/skills/p2p/vendors/tier1.md</x:v>
      </x:c>
      <x:c r="M59" s="22" t="str">
        <x:v>source/8.4.6-C/for-chat/vendors/tier1.md</x:v>
      </x:c>
      <x:c r="N59" s="22" t="str">
        <x:v>Giữ cả các file gốc trong source snapshot; runtime chỉ kích hoạt một bản canonical để tránh nạp kép. Snapshot chỉ là bằng chứng lịch sử; lớp LIVE mới phải có nguồn và ngày kiểm chứng.</x:v>
      </x:c>
      <x:c r="O59" s="22" t="str">
        <x:v>Reference LIVE có ngày kiểm chứng</x:v>
      </x:c>
      <x:c r="P59" s="22" t="str">
        <x:v>.agents/skills/p2p/references/legacy/live/tier1.md</x:v>
      </x:c>
      <x:c r="Q59" s="22" t="str">
        <x:v>KEEP_SOURCE + DEDUP_RUNTIME + VERIFY_LIVE</x:v>
      </x:c>
      <x:c r="R59" s="22" t="str">
        <x:v>Không nạp riêng · dữ liệu có thể cũ</x:v>
      </x:c>
      <x:c r="S59" s="22" t="str">
        <x:v>Chỉ đọc như lịch sử; kiểm tra nguồn chính thức hiện hành trước khi áp dụng</x:v>
      </x:c>
      <x:c r="T59" s="22" t="str">
        <x:v>0 · Bảo tồn &amp; đối chiếu</x:v>
      </x:c>
      <x:c r="U59" s="22" t="str">
        <x:v>P0 · Bảo tồn</x:v>
      </x:c>
      <x:c r="V59" s="22" t="str">
        <x:v>Đã giữ nguồn; phải xác minh hiện hành</x:v>
      </x:c>
      <x:c r="W59" s="22" t="str">
        <x:v>CRC nguồn khớp ZIP; chứng minh bản Codex canonical bao phủ cùng hành vi; không nạp kép.</x:v>
      </x:c>
      <x:c r="X59"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skills/p2p/references/live/vendor_tier1.md. Đích thực tế trong gói: .agents/skills/p2p/references/legacy/live/tier1.md. Bằng chứng: SOURCE_HASH_VERIFIED; FRESHNESS_GATE_REQUIRED.</x:v>
      </x:c>
      <x:c r="Y59" s="22" t="str">
        <x:v>https://learn.chatgpt.com/docs/build-skills</x:v>
      </x:c>
    </x:row>
    <x:row r="60" ht="68" customHeight="1">
      <x:c r="A60" s="23" t="n">
        <x:v>56</x:v>
      </x:c>
      <x:c r="B60" s="22" t="str">
        <x:v>8.4.6-C/for-chat/vendors/tier2.md</x:v>
      </x:c>
      <x:c r="C60" s="22" t="str">
        <x:v>tier2.md</x:v>
      </x:c>
      <x:c r="D60" s="22" t="str">
        <x:v>04 · for-chat: LIVE/vendor</x:v>
      </x:c>
      <x:c r="E60" s="23" t="str">
        <x:v>.md</x:v>
      </x:c>
      <x:c r="F60" s="24" t="n">
        <x:v>2946</x:v>
      </x:c>
      <x:c r="G60" s="23" t="str">
        <x:v>77202E54</x:v>
      </x:c>
      <x:c r="H60" s="22" t="str">
        <x:v>scope: Tier 2 balanced models — Claude Sonnet 5 (primary), Gemini 3.6 Flash, Gemini 3.5 Flash. For T1-3 production workloads.; version: 8.4.6-C; Tiêu đề: P2P — VENDORS TIER 2 (Balanced) / Claude Sonnet 5 (PRIMARY для v8C.3 Tier 2)</x:v>
      </x:c>
      <x:c r="I60" s="22" t="str">
        <x:v>Nhóm mô hình cân bằng chi phí/chất lượng theo ảnh chụp phát hành.</x:v>
      </x:c>
      <x:c r="J60" s="22" t="str">
        <x:v>Dữ liệu LIVE &amp; model/vendor</x:v>
      </x:c>
      <x:c r="K60" s="22" t="str">
        <x:v>Bản triển khai độc lập cho Claude Chat/Projects</x:v>
      </x:c>
      <x:c r="L60" s="22" t="str">
        <x:v>Trùng byte với: 8.4.6-C/plugin/.claude/skills/p2p/vendors/tier2.md</x:v>
      </x:c>
      <x:c r="M60" s="22" t="str">
        <x:v>source/8.4.6-C/for-chat/vendors/tier2.md</x:v>
      </x:c>
      <x:c r="N60" s="22" t="str">
        <x:v>Giữ cả các file gốc trong source snapshot; runtime chỉ kích hoạt một bản canonical để tránh nạp kép. Snapshot chỉ là bằng chứng lịch sử; lớp LIVE mới phải có nguồn và ngày kiểm chứng.</x:v>
      </x:c>
      <x:c r="O60" s="22" t="str">
        <x:v>Reference LIVE có ngày kiểm chứng</x:v>
      </x:c>
      <x:c r="P60" s="22" t="str">
        <x:v>.agents/skills/p2p/references/legacy/live/tier2.md</x:v>
      </x:c>
      <x:c r="Q60" s="22" t="str">
        <x:v>KEEP_SOURCE + DEDUP_RUNTIME + VERIFY_LIVE</x:v>
      </x:c>
      <x:c r="R60" s="22" t="str">
        <x:v>Không nạp riêng · dữ liệu có thể cũ</x:v>
      </x:c>
      <x:c r="S60" s="22" t="str">
        <x:v>Chỉ đọc như lịch sử; kiểm tra nguồn chính thức hiện hành trước khi áp dụng</x:v>
      </x:c>
      <x:c r="T60" s="22" t="str">
        <x:v>0 · Bảo tồn &amp; đối chiếu</x:v>
      </x:c>
      <x:c r="U60" s="22" t="str">
        <x:v>P0 · Bảo tồn</x:v>
      </x:c>
      <x:c r="V60" s="22" t="str">
        <x:v>Đã giữ nguồn; phải xác minh hiện hành</x:v>
      </x:c>
      <x:c r="W60" s="22" t="str">
        <x:v>CRC nguồn khớp ZIP; chứng minh bản Codex canonical bao phủ cùng hành vi; không nạp kép.</x:v>
      </x:c>
      <x:c r="X60"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skills/p2p/references/live/vendor_tier2.md. Đích thực tế trong gói: .agents/skills/p2p/references/legacy/live/tier2.md. Bằng chứng: SOURCE_HASH_VERIFIED; FRESHNESS_GATE_REQUIRED.</x:v>
      </x:c>
      <x:c r="Y60" s="22" t="str">
        <x:v>https://learn.chatgpt.com/docs/build-skills</x:v>
      </x:c>
    </x:row>
    <x:row r="61" ht="68" customHeight="1">
      <x:c r="A61" s="23" t="n">
        <x:v>57</x:v>
      </x:c>
      <x:c r="B61" s="22" t="str">
        <x:v>8.4.6-C/for-chat/vendors/tier3.md</x:v>
      </x:c>
      <x:c r="C61" s="22" t="str">
        <x:v>tier3.md</x:v>
      </x:c>
      <x:c r="D61" s="22" t="str">
        <x:v>04 · for-chat: LIVE/vendor</x:v>
      </x:c>
      <x:c r="E61" s="23" t="str">
        <x:v>.md</x:v>
      </x:c>
      <x:c r="F61" s="24" t="n">
        <x:v>4682</x:v>
      </x:c>
      <x:c r="G61" s="23" t="str">
        <x:v>3D524F4D</x:v>
      </x:c>
      <x:c r="H61" s="22" t="str">
        <x:v>scope: Tier 3 high-quality — Claude Opus 5 (primary), Opus 4.8/4.7/4.6, Gemini 3.5/3.1 Pro, Grok 4.5/4.3 (incl. TARGET rules). For T2-4 demanding tasks.; version: 8.4.6-C; Tiêu đề: P2P — VENDORS TIER 3 (High-Quality) / Claude Opus 5 (PRIMARY для Tier 3-4)</x:v>
      </x:c>
      <x:c r="I61" s="22" t="str">
        <x:v>Nhóm mô hình chất lượng cao cho tác vụ khó theo ảnh chụp phát hành.</x:v>
      </x:c>
      <x:c r="J61" s="22" t="str">
        <x:v>Dữ liệu LIVE &amp; model/vendor</x:v>
      </x:c>
      <x:c r="K61" s="22" t="str">
        <x:v>Bản triển khai độc lập cho Claude Chat/Projects</x:v>
      </x:c>
      <x:c r="L61" s="22" t="str">
        <x:v>Trùng byte với: 8.4.6-C/plugin/.claude/skills/p2p/vendors/tier3.md</x:v>
      </x:c>
      <x:c r="M61" s="22" t="str">
        <x:v>source/8.4.6-C/for-chat/vendors/tier3.md</x:v>
      </x:c>
      <x:c r="N61" s="22" t="str">
        <x:v>Giữ cả các file gốc trong source snapshot; runtime chỉ kích hoạt một bản canonical để tránh nạp kép. Snapshot chỉ là bằng chứng lịch sử; lớp LIVE mới phải có nguồn và ngày kiểm chứng.</x:v>
      </x:c>
      <x:c r="O61" s="22" t="str">
        <x:v>Reference LIVE có ngày kiểm chứng</x:v>
      </x:c>
      <x:c r="P61" s="22" t="str">
        <x:v>.agents/skills/p2p/references/legacy/live/tier3.md</x:v>
      </x:c>
      <x:c r="Q61" s="22" t="str">
        <x:v>KEEP_SOURCE + DEDUP_RUNTIME + VERIFY_LIVE</x:v>
      </x:c>
      <x:c r="R61" s="22" t="str">
        <x:v>Không nạp riêng · dữ liệu có thể cũ</x:v>
      </x:c>
      <x:c r="S61" s="22" t="str">
        <x:v>Chỉ đọc như lịch sử; kiểm tra nguồn chính thức hiện hành trước khi áp dụng</x:v>
      </x:c>
      <x:c r="T61" s="22" t="str">
        <x:v>0 · Bảo tồn &amp; đối chiếu</x:v>
      </x:c>
      <x:c r="U61" s="22" t="str">
        <x:v>P0 · Bảo tồn</x:v>
      </x:c>
      <x:c r="V61" s="22" t="str">
        <x:v>Đã giữ nguồn; phải xác minh hiện hành</x:v>
      </x:c>
      <x:c r="W61" s="22" t="str">
        <x:v>CRC nguồn khớp ZIP; chứng minh bản Codex canonical bao phủ cùng hành vi; không nạp kép.</x:v>
      </x:c>
      <x:c r="X61"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skills/p2p/references/live/vendor_tier3.md. Đích thực tế trong gói: .agents/skills/p2p/references/legacy/live/tier3.md. Bằng chứng: SOURCE_HASH_VERIFIED; FRESHNESS_GATE_REQUIRED.</x:v>
      </x:c>
      <x:c r="Y61" s="22" t="str">
        <x:v>https://learn.chatgpt.com/docs/build-skills</x:v>
      </x:c>
    </x:row>
    <x:row r="62" ht="68" customHeight="1">
      <x:c r="A62" s="23" t="n">
        <x:v>58</x:v>
      </x:c>
      <x:c r="B62" s="22" t="str">
        <x:v>8.4.6-C/for-chat/vendors/tier4.md</x:v>
      </x:c>
      <x:c r="C62" s="22" t="str">
        <x:v>tier4.md</x:v>
      </x:c>
      <x:c r="D62" s="22" t="str">
        <x:v>04 · for-chat: LIVE/vendor</x:v>
      </x:c>
      <x:c r="E62" s="23" t="str">
        <x:v>.md</x:v>
      </x:c>
      <x:c r="F62" s="24" t="n">
        <x:v>5683</x:v>
      </x:c>
      <x:c r="G62" s="23" t="str">
        <x:v>E2130F54</x:v>
      </x:c>
      <x:c r="H62" s="22" t="str">
        <x:v>scope: Tier 4 maximum quality — Claude Opus 5, Fable 5, Opus 4.8, GPT-5.6 Sol, Grok 4.20 Heavy. For T3-4 critical high-stakes tasks.; version: 8.4.6-C; Tiêu đề: P2P — VENDORS TIER 4 (Maximum Quality) / Claude Opus 5 (PRIMARY frontier)</x:v>
      </x:c>
      <x:c r="I62" s="22" t="str">
        <x:v>Nhóm mô hình chất lượng tối đa cho tác vụ quan trọng theo ảnh chụp phát hành.</x:v>
      </x:c>
      <x:c r="J62" s="22" t="str">
        <x:v>Dữ liệu LIVE &amp; model/vendor</x:v>
      </x:c>
      <x:c r="K62" s="22" t="str">
        <x:v>Bản triển khai độc lập cho Claude Chat/Projects</x:v>
      </x:c>
      <x:c r="L62" s="22" t="str">
        <x:v>Trùng byte với: 8.4.6-C/plugin/.claude/skills/p2p/vendors/tier4.md</x:v>
      </x:c>
      <x:c r="M62" s="22" t="str">
        <x:v>source/8.4.6-C/for-chat/vendors/tier4.md</x:v>
      </x:c>
      <x:c r="N62" s="22" t="str">
        <x:v>Giữ cả các file gốc trong source snapshot; runtime chỉ kích hoạt một bản canonical để tránh nạp kép. Snapshot chỉ là bằng chứng lịch sử; lớp LIVE mới phải có nguồn và ngày kiểm chứng.</x:v>
      </x:c>
      <x:c r="O62" s="22" t="str">
        <x:v>Reference LIVE có ngày kiểm chứng</x:v>
      </x:c>
      <x:c r="P62" s="22" t="str">
        <x:v>.agents/skills/p2p/references/legacy/live/tier4.md</x:v>
      </x:c>
      <x:c r="Q62" s="22" t="str">
        <x:v>KEEP_SOURCE + DEDUP_RUNTIME + VERIFY_LIVE</x:v>
      </x:c>
      <x:c r="R62" s="22" t="str">
        <x:v>Không nạp riêng · dữ liệu có thể cũ</x:v>
      </x:c>
      <x:c r="S62" s="22" t="str">
        <x:v>Chỉ đọc như lịch sử; kiểm tra nguồn chính thức hiện hành trước khi áp dụng</x:v>
      </x:c>
      <x:c r="T62" s="22" t="str">
        <x:v>0 · Bảo tồn &amp; đối chiếu</x:v>
      </x:c>
      <x:c r="U62" s="22" t="str">
        <x:v>P0 · Bảo tồn</x:v>
      </x:c>
      <x:c r="V62" s="22" t="str">
        <x:v>Đã giữ nguồn; phải xác minh hiện hành</x:v>
      </x:c>
      <x:c r="W62" s="22" t="str">
        <x:v>CRC nguồn khớp ZIP; chứng minh bản Codex canonical bao phủ cùng hành vi; không nạp kép.</x:v>
      </x:c>
      <x:c r="X62"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skills/p2p/references/live/vendor_tier4.md. Đích thực tế trong gói: .agents/skills/p2p/references/legacy/live/tier4.md. Bằng chứng: SOURCE_HASH_VERIFIED; FRESHNESS_GATE_REQUIRED.</x:v>
      </x:c>
      <x:c r="Y62" s="22" t="str">
        <x:v>https://learn.chatgpt.com/docs/build-skills</x:v>
      </x:c>
    </x:row>
    <x:row r="63" ht="68" customHeight="1">
      <x:c r="A63" s="23" t="n">
        <x:v>59</x:v>
      </x:c>
      <x:c r="B63" s="22" t="str">
        <x:v>8.4.6-C/plugin/.claude-plugin/plugin.json</x:v>
      </x:c>
      <x:c r="C63" s="22" t="str">
        <x:v>plugin.json</x:v>
      </x:c>
      <x:c r="D63" s="22" t="str">
        <x:v>06 · Plugin: nền tảng</x:v>
      </x:c>
      <x:c r="E63" s="23" t="str">
        <x:v>.json</x:v>
      </x:c>
      <x:c r="F63" s="24" t="n">
        <x:v>1614</x:v>
      </x:c>
      <x:c r="G63" s="23" t="str">
        <x:v>088B85B0</x:v>
      </x:c>
      <x:c r="H63" s="22" t="str">
        <x:v>name=p2p-v8c3; version=8.4.6; description=Meta-prompt system for Claude Fable 5 / Opus 4.8 / Sonnet 4.6. 8 QUORUM agents, 12 /p2p-* commands, XML-native, SCOPE.HELM, teacher mode, pxpipe optical token compression (Fable 5).</x:v>
      </x:c>
      <x:c r="I63" s="22" t="str">
        <x:v>Manifest gói Claude: tên, phiên bản, thành phần, agent, command, skill và khả năng tương thích.</x:v>
      </x:c>
      <x:c r="J63" s="22" t="str">
        <x:v>Nền tảng &amp; đóng gói Codex</x:v>
      </x:c>
      <x:c r="K63" s="22" t="str">
        <x:v>Manifest, quy tắc và cấu hình Claude</x:v>
      </x:c>
      <x:c r="L63" s="22" t="str">
        <x:v>Không phát hiện cặp tương ứng rõ ràng.</x:v>
      </x:c>
      <x:c r="M63" s="22" t="str">
        <x:v>source/8.4.6-C/plugin/.claude-plugin/plugin.json</x:v>
      </x:c>
      <x:c r="N63" s="22" t="str">
        <x:v>Giữ nguyên byte trong source/8.4.6-C; bản Codex ghi đường dẫn nguồn và CRC. Mọi port được tạo ở file mới, không sửa mã nguồn snapshot.</x:v>
      </x:c>
      <x:c r="O63" s="22" t="str">
        <x:v>Plugin manifest</x:v>
      </x:c>
      <x:c r="P63" s="22" t="str">
        <x:v>manifest/package.json</x:v>
      </x:c>
      <x:c r="Q63" s="22" t="str">
        <x:v>KEEP_SOURCE + REWRITE_NATIVE</x:v>
      </x:c>
      <x:c r="R63" s="22" t="str">
        <x:v>Trung bình · cơ chế nền tảng khác</x:v>
      </x:c>
      <x:c r="S63" s="22" t="str">
        <x:v>Nạp khi cài/khởi tạo plugin</x:v>
      </x:c>
      <x:c r="T63" s="22" t="str">
        <x:v>1 · Nền tảng &amp; lõi</x:v>
      </x:c>
      <x:c r="U63" s="22" t="str">
        <x:v>P0 · Bắt buộc</x:v>
      </x:c>
      <x:c r="V63" s="22" t="str">
        <x:v>Đã chuyển và kiểm tra cấu trúc</x:v>
      </x:c>
      <x:c r="W63" s="22" t="str">
        <x:v>Manifest plugin parse được; liệt kê đúng skill; cài thử trong môi trường sạch; không ghi đè file người dùng.</x:v>
      </x:c>
      <x:c r="X63" s="22" t="str">
        <x:v>Có giả định Claude/XML/model-specific; cần giữ ý nghĩa nhưng viết lại cơ chế cho Codex. Mô tả ghi 12 command nhưng ZIP có 13 file command (tính cả p2p.md); cần quyết định quy ước đếm. Đích đề xuất ban đầu: .codex-plugin/plugin.json. Đích thực tế trong gói: manifest/package.json. Bằng chứng: NATIVE_TARGET_PRESENT; STRUCTURAL_CHECK_PASS.</x:v>
      </x:c>
      <x:c r="Y63" s="22" t="str">
        <x:v>https://learn.chatgpt.com/docs/build-plugins</x:v>
      </x:c>
    </x:row>
    <x:row r="64" ht="68" customHeight="1">
      <x:c r="A64" s="23" t="n">
        <x:v>60</x:v>
      </x:c>
      <x:c r="B64" s="22" t="str">
        <x:v>8.4.6-C/plugin/.claude/CLAUDE.md</x:v>
      </x:c>
      <x:c r="C64" s="22" t="str">
        <x:v>CLAUDE.md</x:v>
      </x:c>
      <x:c r="D64" s="22" t="str">
        <x:v>06 · Plugin: nền tảng</x:v>
      </x:c>
      <x:c r="E64" s="23" t="str">
        <x:v>.md</x:v>
      </x:c>
      <x:c r="F64" s="24" t="n">
        <x:v>2021</x:v>
      </x:c>
      <x:c r="G64" s="23" t="str">
        <x:v>F286218A</x:v>
      </x:c>
      <x:c r="H64" s="22" t="str">
        <x:v>Tiêu đề: CLAUDE.md — P2P Claude Edition / Context</x:v>
      </x:c>
      <x:c r="I64" s="22" t="str">
        <x:v>Quy tắc làm việc cục bộ, bất biến kiến trúc và tiêu chuẩn bảo trì dành cho Claude.</x:v>
      </x:c>
      <x:c r="J64" s="22" t="str">
        <x:v>Nền tảng &amp; đóng gói Codex</x:v>
      </x:c>
      <x:c r="K64" s="22" t="str">
        <x:v>Manifest, quy tắc và cấu hình Claude</x:v>
      </x:c>
      <x:c r="L64" s="22" t="str">
        <x:v>Không phát hiện cặp tương ứng rõ ràng.</x:v>
      </x:c>
      <x:c r="M64" s="22" t="str">
        <x:v>source/8.4.6-C/plugin/.claude/CLAUDE.md</x:v>
      </x:c>
      <x:c r="N64" s="22" t="str">
        <x:v>Giữ nguyên byte trong source/8.4.6-C; bản Codex ghi đường dẫn nguồn và CRC.</x:v>
      </x:c>
      <x:c r="O64" s="22" t="str">
        <x:v>AGENTS.md</x:v>
      </x:c>
      <x:c r="P64" s="22" t="str">
        <x:v>AGENTS.md</x:v>
      </x:c>
      <x:c r="Q64" s="22" t="str">
        <x:v>KEEP_SOURCE + REWRITE_NATIVE</x:v>
      </x:c>
      <x:c r="R64" s="22" t="str">
        <x:v>Trung bình · cơ chế nền tảng khác</x:v>
      </x:c>
      <x:c r="S64" s="22" t="str">
        <x:v>Codex đọc AGENTS.md khi vào dự án</x:v>
      </x:c>
      <x:c r="T64" s="22" t="str">
        <x:v>1 · Nền tảng &amp; lõi</x:v>
      </x:c>
      <x:c r="U64" s="22" t="str">
        <x:v>P0 · Bắt buộc</x:v>
      </x:c>
      <x:c r="V64" s="22" t="str">
        <x:v>Đã chuyển và kiểm tra cấu trúc</x:v>
      </x:c>
      <x:c r="W64" s="22" t="str">
        <x:v>AGENTS.md ngắn, không vượt ngân sách hướng dẫn; thứ tự ưu tiên đúng; không chứa chỉ dẫn Claude lỗi thời.</x:v>
      </x:c>
      <x:c r="X64" s="22" t="str">
        <x:v>Có giả định Claude/XML/model-specific; cần giữ ý nghĩa nhưng viết lại cơ chế cho Codex. Bằng chứng: NATIVE_TARGET_PRESENT; STRUCTURAL_CHECK_PASS.</x:v>
      </x:c>
      <x:c r="Y64" s="22" t="str">
        <x:v>https://learn.chatgpt.com/docs/agent-configuration/agents-md</x:v>
      </x:c>
    </x:row>
    <x:row r="65" ht="68" customHeight="1">
      <x:c r="A65" s="23" t="n">
        <x:v>61</x:v>
      </x:c>
      <x:c r="B65" s="22" t="str">
        <x:v>8.4.6-C/plugin/.claude/agents/p2p-anon.md</x:v>
      </x:c>
      <x:c r="C65" s="22" t="str">
        <x:v>p2p-anon.md</x:v>
      </x:c>
      <x:c r="D65" s="22" t="str">
        <x:v>07 · Plugin: 8 agent</x:v>
      </x:c>
      <x:c r="E65" s="23" t="str">
        <x:v>.md</x:v>
      </x:c>
      <x:c r="F65" s="24" t="n">
        <x:v>2038</x:v>
      </x:c>
      <x:c r="G65" s="23" t="str">
        <x:v>5BA3F99D</x:v>
      </x:c>
      <x:c r="H65" s="22" t="str">
        <x:v>name: p2p-anon; description: ANON sub-agent — security engineer, privacy guardian, threat modeler.; scope: ANON sub-agent — security engineer, privacy guardian, threat modeler.; version: 8.4.6-C; Tiêu đề: ANON — Специалист по Безопасности / Threat Model (STRIDE)</x:v>
      </x:c>
      <x:c r="I65" s="22" t="str">
        <x:v>ANON — chuyên gia bảo mật, quyền riêng tư và mô hình đe dọa.</x:v>
      </x:c>
      <x:c r="J65" s="22" t="str">
        <x:v>QUORUM &amp; đa agent</x:v>
      </x:c>
      <x:c r="K65" s="22" t="str">
        <x:v>Hồ sơ sub-agent plugin Claude</x:v>
      </x:c>
      <x:c r="L65" s="22" t="str">
        <x:v>Không phát hiện cặp tương ứng rõ ràng.</x:v>
      </x:c>
      <x:c r="M65" s="22" t="str">
        <x:v>source/8.4.6-C/plugin/.claude/agents/p2p-anon.md</x:v>
      </x:c>
      <x:c r="N65" s="22" t="str">
        <x:v>Giữ nguyên byte trong source/8.4.6-C; bản Codex ghi đường dẫn nguồn và CRC.</x:v>
      </x:c>
      <x:c r="O65" s="22" t="str">
        <x:v>Custom agent TOML</x:v>
      </x:c>
      <x:c r="P65" s="22" t="str">
        <x:v>.codex/agents/p2p-anon.toml</x:v>
      </x:c>
      <x:c r="Q65" s="22" t="str">
        <x:v>KEEP_SOURCE + REWRITE_NATIVE + PARITY_TEST</x:v>
      </x:c>
      <x:c r="R65" s="22" t="str">
        <x:v>Cao về vai trò · trung bình về runtime</x:v>
      </x:c>
      <x:c r="S65" s="22" t="str">
        <x:v>Codex nạp profile từ .codex/agents; phải xác nhận thread thật bằng UI hoặc /agent</x:v>
      </x:c>
      <x:c r="T65" s="22" t="str">
        <x:v>2 · 8 agent &amp; QUORUM</x:v>
      </x:c>
      <x:c r="U65" s="22" t="str">
        <x:v>P0 · Bắt buộc</x:v>
      </x:c>
      <x:c r="V65" s="22" t="str">
        <x:v>Đã chuyển cấu trúc; chưa chạy 8 thread thật</x:v>
      </x:c>
      <x:c r="W65" s="22" t="str">
        <x:v>TOML parse đạt; còn phải chạy đúng profile trong Codex host và thấy thread riêng bằng UI hoặc /agent.</x:v>
      </x:c>
      <x:c r="X65" s="22" t="str">
        <x:v>Sandbox của agent con không nên được hứa tuyệt đối; quyền phiên cha và cấu hình thực tế phải được kiểm tra. Bằng chứng: TOML_PARSE_PASS; REAL_THREAD_RUNTIME_NOT_EXECUTED.</x:v>
      </x:c>
      <x:c r="Y65" s="22" t="str">
        <x:v>https://learn.chatgpt.com/docs/agent-configuration/subagents</x:v>
      </x:c>
    </x:row>
    <x:row r="66" ht="68" customHeight="1">
      <x:c r="A66" s="23" t="n">
        <x:v>62</x:v>
      </x:c>
      <x:c r="B66" s="22" t="str">
        <x:v>8.4.6-C/plugin/.claude/agents/p2p-architecton.md</x:v>
      </x:c>
      <x:c r="C66" s="22" t="str">
        <x:v>p2p-architecton.md</x:v>
      </x:c>
      <x:c r="D66" s="22" t="str">
        <x:v>07 · Plugin: 8 agent</x:v>
      </x:c>
      <x:c r="E66" s="23" t="str">
        <x:v>.md</x:v>
      </x:c>
      <x:c r="F66" s="24" t="n">
        <x:v>2130</x:v>
      </x:c>
      <x:c r="G66" s="23" t="str">
        <x:v>E02A1912</x:v>
      </x:c>
      <x:c r="H66" s="22" t="str">
        <x:v>name: p2p-architecton; description: ARCHITECTON sub-agent — senior integrator, holistic view, conflict resolver.; scope: ARCHITECTON sub-agent — senior integrator, holistic view, conflict resolver.; version: 8.4.6-C; Tiêu đề: ARCHITECTON — Интегратор / Интегрированный план</x:v>
      </x:c>
      <x:c r="I66" s="22" t="str">
        <x:v>ARCHITECTON — tích hợp toàn cục, hòa giải xung đột và lập kế hoạch tổng thể.</x:v>
      </x:c>
      <x:c r="J66" s="22" t="str">
        <x:v>QUORUM &amp; đa agent</x:v>
      </x:c>
      <x:c r="K66" s="22" t="str">
        <x:v>Hồ sơ sub-agent plugin Claude</x:v>
      </x:c>
      <x:c r="L66" s="22" t="str">
        <x:v>Không phát hiện cặp tương ứng rõ ràng.</x:v>
      </x:c>
      <x:c r="M66" s="22" t="str">
        <x:v>source/8.4.6-C/plugin/.claude/agents/p2p-architecton.md</x:v>
      </x:c>
      <x:c r="N66" s="22" t="str">
        <x:v>Giữ nguyên byte trong source/8.4.6-C; bản Codex ghi đường dẫn nguồn và CRC.</x:v>
      </x:c>
      <x:c r="O66" s="22" t="str">
        <x:v>Custom agent TOML</x:v>
      </x:c>
      <x:c r="P66" s="22" t="str">
        <x:v>.codex/agents/p2p-architecton.toml</x:v>
      </x:c>
      <x:c r="Q66" s="22" t="str">
        <x:v>KEEP_SOURCE + REWRITE_NATIVE + PARITY_TEST</x:v>
      </x:c>
      <x:c r="R66" s="22" t="str">
        <x:v>Cao về vai trò · trung bình về runtime</x:v>
      </x:c>
      <x:c r="S66" s="22" t="str">
        <x:v>Codex nạp profile từ .codex/agents; phải xác nhận thread thật bằng UI hoặc /agent</x:v>
      </x:c>
      <x:c r="T66" s="22" t="str">
        <x:v>2 · 8 agent &amp; QUORUM</x:v>
      </x:c>
      <x:c r="U66" s="22" t="str">
        <x:v>P0 · Bắt buộc</x:v>
      </x:c>
      <x:c r="V66" s="22" t="str">
        <x:v>Đã chuyển cấu trúc; chưa chạy 8 thread thật</x:v>
      </x:c>
      <x:c r="W66" s="22" t="str">
        <x:v>TOML parse đạt; còn phải chạy đúng profile trong Codex host và thấy thread riêng bằng UI hoặc /agent.</x:v>
      </x:c>
      <x:c r="X66" s="22" t="str">
        <x:v>Sandbox của agent con không nên được hứa tuyệt đối; quyền phiên cha và cấu hình thực tế phải được kiểm tra. Bằng chứng: TOML_PARSE_PASS; REAL_THREAD_RUNTIME_NOT_EXECUTED.</x:v>
      </x:c>
      <x:c r="Y66" s="22" t="str">
        <x:v>https://learn.chatgpt.com/docs/agent-configuration/subagents</x:v>
      </x:c>
    </x:row>
    <x:row r="67" ht="68" customHeight="1">
      <x:c r="A67" s="23" t="n">
        <x:v>63</x:v>
      </x:c>
      <x:c r="B67" s="22" t="str">
        <x:v>8.4.6-C/plugin/.claude/agents/p2p-axiom.md</x:v>
      </x:c>
      <x:c r="C67" s="22" t="str">
        <x:v>p2p-axiom.md</x:v>
      </x:c>
      <x:c r="D67" s="22" t="str">
        <x:v>07 · Plugin: 8 agent</x:v>
      </x:c>
      <x:c r="E67" s="23" t="str">
        <x:v>.md</x:v>
      </x:c>
      <x:c r="F67" s="24" t="n">
        <x:v>2848</x:v>
      </x:c>
      <x:c r="G67" s="23" t="str">
        <x:v>C6FA3ABA</x:v>
      </x:c>
      <x:c r="H67" s="22" t="str">
        <x:v>name: p2p-axiom; description: AXIOM sub-agent — devil's advocate, critical verifier, weak point finder.; scope: AXIOM sub-agent — devil's advocate, critical verifier, weak point finder.; version: 8.4.6-C; Tiêu đề: AXIOM — Критик и Верификатор / CRITICAL (блокеры)</x:v>
      </x:c>
      <x:c r="I67" s="22" t="str">
        <x:v>AXIOM — phản biện, kiểm chứng và tìm điểm yếu/blocker.</x:v>
      </x:c>
      <x:c r="J67" s="22" t="str">
        <x:v>QUORUM &amp; đa agent</x:v>
      </x:c>
      <x:c r="K67" s="22" t="str">
        <x:v>Hồ sơ sub-agent plugin Claude</x:v>
      </x:c>
      <x:c r="L67" s="22" t="str">
        <x:v>Không phát hiện cặp tương ứng rõ ràng.</x:v>
      </x:c>
      <x:c r="M67" s="22" t="str">
        <x:v>source/8.4.6-C/plugin/.claude/agents/p2p-axiom.md</x:v>
      </x:c>
      <x:c r="N67" s="22" t="str">
        <x:v>Giữ nguyên byte trong source/8.4.6-C; bản Codex ghi đường dẫn nguồn và CRC.</x:v>
      </x:c>
      <x:c r="O67" s="22" t="str">
        <x:v>Custom agent TOML</x:v>
      </x:c>
      <x:c r="P67" s="22" t="str">
        <x:v>.codex/agents/p2p-axiom.toml</x:v>
      </x:c>
      <x:c r="Q67" s="22" t="str">
        <x:v>KEEP_SOURCE + REWRITE_NATIVE + PARITY_TEST</x:v>
      </x:c>
      <x:c r="R67" s="22" t="str">
        <x:v>Cao về vai trò · trung bình về runtime</x:v>
      </x:c>
      <x:c r="S67" s="22" t="str">
        <x:v>Codex nạp profile từ .codex/agents; phải xác nhận thread thật bằng UI hoặc /agent</x:v>
      </x:c>
      <x:c r="T67" s="22" t="str">
        <x:v>2 · 8 agent &amp; QUORUM</x:v>
      </x:c>
      <x:c r="U67" s="22" t="str">
        <x:v>P0 · Bắt buộc</x:v>
      </x:c>
      <x:c r="V67" s="22" t="str">
        <x:v>Đã chuyển cấu trúc; chưa chạy 8 thread thật</x:v>
      </x:c>
      <x:c r="W67" s="22" t="str">
        <x:v>TOML parse đạt; còn phải chạy đúng profile trong Codex host và thấy thread riêng bằng UI hoặc /agent.</x:v>
      </x:c>
      <x:c r="X67" s="22" t="str">
        <x:v>Sandbox của agent con không nên được hứa tuyệt đối; quyền phiên cha và cấu hình thực tế phải được kiểm tra. Bằng chứng: TOML_PARSE_PASS; REAL_THREAD_RUNTIME_NOT_EXECUTED.</x:v>
      </x:c>
      <x:c r="Y67" s="22" t="str">
        <x:v>https://learn.chatgpt.com/docs/agent-configuration/subagents</x:v>
      </x:c>
    </x:row>
    <x:row r="68" ht="68" customHeight="1">
      <x:c r="A68" s="23" t="n">
        <x:v>64</x:v>
      </x:c>
      <x:c r="B68" s="22" t="str">
        <x:v>8.4.6-C/plugin/.claude/agents/p2p-datos.md</x:v>
      </x:c>
      <x:c r="C68" s="22" t="str">
        <x:v>p2p-datos.md</x:v>
      </x:c>
      <x:c r="D68" s="22" t="str">
        <x:v>07 · Plugin: 8 agent</x:v>
      </x:c>
      <x:c r="E68" s="23" t="str">
        <x:v>.md</x:v>
      </x:c>
      <x:c r="F68" s="24" t="n">
        <x:v>2138</x:v>
      </x:c>
      <x:c r="G68" s="23" t="str">
        <x:v>E8852A88</x:v>
      </x:c>
      <x:c r="H68" s="22" t="str">
        <x:v>name: p2p-datos; description: DATOS sub-agent — data analyst, fact-checker, empirical verifier.; scope: DATOS sub-agent — data analyst, fact-checker, empirical verifier.; version: 8.4.6-C; Tiêu đề: DATOS — Аналитик и Фактчекер / Верификация утверждений</x:v>
      </x:c>
      <x:c r="I68" s="22" t="str">
        <x:v>DATOS — phân tích dữ liệu, kiểm chứng sự kiện và bằng chứng thực nghiệm.</x:v>
      </x:c>
      <x:c r="J68" s="22" t="str">
        <x:v>QUORUM &amp; đa agent</x:v>
      </x:c>
      <x:c r="K68" s="22" t="str">
        <x:v>Hồ sơ sub-agent plugin Claude</x:v>
      </x:c>
      <x:c r="L68" s="22" t="str">
        <x:v>Không phát hiện cặp tương ứng rõ ràng.</x:v>
      </x:c>
      <x:c r="M68" s="22" t="str">
        <x:v>source/8.4.6-C/plugin/.claude/agents/p2p-datos.md</x:v>
      </x:c>
      <x:c r="N68" s="22" t="str">
        <x:v>Giữ nguyên byte trong source/8.4.6-C; bản Codex ghi đường dẫn nguồn và CRC.</x:v>
      </x:c>
      <x:c r="O68" s="22" t="str">
        <x:v>Custom agent TOML</x:v>
      </x:c>
      <x:c r="P68" s="22" t="str">
        <x:v>.codex/agents/p2p-datos.toml</x:v>
      </x:c>
      <x:c r="Q68" s="22" t="str">
        <x:v>KEEP_SOURCE + REWRITE_NATIVE + PARITY_TEST</x:v>
      </x:c>
      <x:c r="R68" s="22" t="str">
        <x:v>Cao về vai trò · trung bình về runtime</x:v>
      </x:c>
      <x:c r="S68" s="22" t="str">
        <x:v>Codex nạp profile từ .codex/agents; phải xác nhận thread thật bằng UI hoặc /agent</x:v>
      </x:c>
      <x:c r="T68" s="22" t="str">
        <x:v>2 · 8 agent &amp; QUORUM</x:v>
      </x:c>
      <x:c r="U68" s="22" t="str">
        <x:v>P0 · Bắt buộc</x:v>
      </x:c>
      <x:c r="V68" s="22" t="str">
        <x:v>Đã chuyển cấu trúc; chưa chạy 8 thread thật</x:v>
      </x:c>
      <x:c r="W68" s="22" t="str">
        <x:v>TOML parse đạt; còn phải chạy đúng profile trong Codex host và thấy thread riêng bằng UI hoặc /agent.</x:v>
      </x:c>
      <x:c r="X68" s="22" t="str">
        <x:v>Sandbox của agent con không nên được hứa tuyệt đối; quyền phiên cha và cấu hình thực tế phải được kiểm tra. Bằng chứng: TOML_PARSE_PASS; REAL_THREAD_RUNTIME_NOT_EXECUTED.</x:v>
      </x:c>
      <x:c r="Y68" s="22" t="str">
        <x:v>https://learn.chatgpt.com/docs/agent-configuration/subagents</x:v>
      </x:c>
    </x:row>
    <x:row r="69" ht="68" customHeight="1">
      <x:c r="A69" s="23" t="n">
        <x:v>65</x:v>
      </x:c>
      <x:c r="B69" s="22" t="str">
        <x:v>8.4.6-C/plugin/.claude/agents/p2p-helios.md</x:v>
      </x:c>
      <x:c r="C69" s="22" t="str">
        <x:v>p2p-helios.md</x:v>
      </x:c>
      <x:c r="D69" s="22" t="str">
        <x:v>07 · Plugin: 8 agent</x:v>
      </x:c>
      <x:c r="E69" s="23" t="str">
        <x:v>.md</x:v>
      </x:c>
      <x:c r="F69" s="24" t="n">
        <x:v>2810</x:v>
      </x:c>
      <x:c r="G69" s="23" t="str">
        <x:v>C625C729</x:v>
      </x:c>
      <x:c r="H69" s="22" t="str">
        <x:v>name: p2p-helios; description: HELIOS sub-agent — final synthesizer, executive presenter, actionable output generator.; scope: HELIOS sub-agent — final synthesizer, executive presenter, actionable output generator.; version: 8.4.6-C; Tiêu đề: HELIOS — Финальный Синтезатор / Главный вывод</x:v>
      </x:c>
      <x:c r="I69" s="22" t="str">
        <x:v>HELIOS — tổng hợp cuối, trình bày điều hành và tạo đầu ra hành động được.</x:v>
      </x:c>
      <x:c r="J69" s="22" t="str">
        <x:v>QUORUM &amp; đa agent</x:v>
      </x:c>
      <x:c r="K69" s="22" t="str">
        <x:v>Hồ sơ sub-agent plugin Claude</x:v>
      </x:c>
      <x:c r="L69" s="22" t="str">
        <x:v>Không phát hiện cặp tương ứng rõ ràng.</x:v>
      </x:c>
      <x:c r="M69" s="22" t="str">
        <x:v>source/8.4.6-C/plugin/.claude/agents/p2p-helios.md</x:v>
      </x:c>
      <x:c r="N69" s="22" t="str">
        <x:v>Giữ nguyên byte trong source/8.4.6-C; bản Codex ghi đường dẫn nguồn và CRC.</x:v>
      </x:c>
      <x:c r="O69" s="22" t="str">
        <x:v>Custom agent TOML</x:v>
      </x:c>
      <x:c r="P69" s="22" t="str">
        <x:v>.codex/agents/p2p-helios.toml</x:v>
      </x:c>
      <x:c r="Q69" s="22" t="str">
        <x:v>KEEP_SOURCE + REWRITE_NATIVE + PARITY_TEST</x:v>
      </x:c>
      <x:c r="R69" s="22" t="str">
        <x:v>Cao về vai trò · trung bình về runtime</x:v>
      </x:c>
      <x:c r="S69" s="22" t="str">
        <x:v>Codex nạp profile từ .codex/agents; phải xác nhận thread thật bằng UI hoặc /agent</x:v>
      </x:c>
      <x:c r="T69" s="22" t="str">
        <x:v>2 · 8 agent &amp; QUORUM</x:v>
      </x:c>
      <x:c r="U69" s="22" t="str">
        <x:v>P0 · Bắt buộc</x:v>
      </x:c>
      <x:c r="V69" s="22" t="str">
        <x:v>Đã chuyển cấu trúc; chưa chạy 8 thread thật</x:v>
      </x:c>
      <x:c r="W69" s="22" t="str">
        <x:v>TOML parse đạt; còn phải chạy đúng profile trong Codex host và thấy thread riêng bằng UI hoặc /agent.</x:v>
      </x:c>
      <x:c r="X69" s="22" t="str">
        <x:v>Sandbox của agent con không nên được hứa tuyệt đối; quyền phiên cha và cấu hình thực tế phải được kiểm tra. Bằng chứng: TOML_PARSE_PASS; REAL_THREAD_RUNTIME_NOT_EXECUTED.</x:v>
      </x:c>
      <x:c r="Y69" s="22" t="str">
        <x:v>https://learn.chatgpt.com/docs/agent-configuration/subagents</x:v>
      </x:c>
    </x:row>
    <x:row r="70" ht="68" customHeight="1">
      <x:c r="A70" s="23" t="n">
        <x:v>66</x:v>
      </x:c>
      <x:c r="B70" s="22" t="str">
        <x:v>8.4.6-C/plugin/.claude/agents/p2p-iris.md</x:v>
      </x:c>
      <x:c r="C70" s="22" t="str">
        <x:v>p2p-iris.md</x:v>
      </x:c>
      <x:c r="D70" s="22" t="str">
        <x:v>07 · Plugin: 8 agent</x:v>
      </x:c>
      <x:c r="E70" s="23" t="str">
        <x:v>.md</x:v>
      </x:c>
      <x:c r="F70" s="24" t="n">
        <x:v>2850</x:v>
      </x:c>
      <x:c r="G70" s="23" t="str">
        <x:v>C3785CA5</x:v>
      </x:c>
      <x:c r="H70" s="22" t="str">
        <x:v>name: p2p-iris; description: IRIS sub-agent — problem space cartographer, research specialist, unknown discovery.; scope: IRIS sub-agent — problem space cartographer, research specialist, unknown discovery.; version: 8.4.6-C; Tiêu đề: IRIS — Исследователь и Картограф / Карта проблемы</x:v>
      </x:c>
      <x:c r="I70" s="22" t="str">
        <x:v>IRIS — khảo sát không gian vấn đề, nghiên cứu và phát hiện điều chưa biết.</x:v>
      </x:c>
      <x:c r="J70" s="22" t="str">
        <x:v>QUORUM &amp; đa agent</x:v>
      </x:c>
      <x:c r="K70" s="22" t="str">
        <x:v>Hồ sơ sub-agent plugin Claude</x:v>
      </x:c>
      <x:c r="L70" s="22" t="str">
        <x:v>Không phát hiện cặp tương ứng rõ ràng.</x:v>
      </x:c>
      <x:c r="M70" s="22" t="str">
        <x:v>source/8.4.6-C/plugin/.claude/agents/p2p-iris.md</x:v>
      </x:c>
      <x:c r="N70" s="22" t="str">
        <x:v>Giữ nguyên byte trong source/8.4.6-C; bản Codex ghi đường dẫn nguồn và CRC.</x:v>
      </x:c>
      <x:c r="O70" s="22" t="str">
        <x:v>Custom agent TOML</x:v>
      </x:c>
      <x:c r="P70" s="22" t="str">
        <x:v>.codex/agents/p2p-iris.toml</x:v>
      </x:c>
      <x:c r="Q70" s="22" t="str">
        <x:v>KEEP_SOURCE + REWRITE_NATIVE + PARITY_TEST</x:v>
      </x:c>
      <x:c r="R70" s="22" t="str">
        <x:v>Cao về vai trò · trung bình về runtime</x:v>
      </x:c>
      <x:c r="S70" s="22" t="str">
        <x:v>Codex nạp profile từ .codex/agents; phải xác nhận thread thật bằng UI hoặc /agent</x:v>
      </x:c>
      <x:c r="T70" s="22" t="str">
        <x:v>2 · 8 agent &amp; QUORUM</x:v>
      </x:c>
      <x:c r="U70" s="22" t="str">
        <x:v>P0 · Bắt buộc</x:v>
      </x:c>
      <x:c r="V70" s="22" t="str">
        <x:v>Đã chuyển cấu trúc; chưa chạy 8 thread thật</x:v>
      </x:c>
      <x:c r="W70" s="22" t="str">
        <x:v>TOML parse đạt; còn phải chạy đúng profile trong Codex host và thấy thread riêng bằng UI hoặc /agent.</x:v>
      </x:c>
      <x:c r="X70" s="22" t="str">
        <x:v>Sandbox của agent con không nên được hứa tuyệt đối; quyền phiên cha và cấu hình thực tế phải được kiểm tra. Bằng chứng: TOML_PARSE_PASS; REAL_THREAD_RUNTIME_NOT_EXECUTED.</x:v>
      </x:c>
      <x:c r="Y70" s="22" t="str">
        <x:v>https://learn.chatgpt.com/docs/agent-configuration/subagents</x:v>
      </x:c>
    </x:row>
    <x:row r="71" ht="68" customHeight="1">
      <x:c r="A71" s="23" t="n">
        <x:v>67</x:v>
      </x:c>
      <x:c r="B71" s="22" t="str">
        <x:v>8.4.6-C/plugin/.claude/agents/p2p-tecton.md</x:v>
      </x:c>
      <x:c r="C71" s="22" t="str">
        <x:v>p2p-tecton.md</x:v>
      </x:c>
      <x:c r="D71" s="22" t="str">
        <x:v>07 · Plugin: 8 agent</x:v>
      </x:c>
      <x:c r="E71" s="23" t="str">
        <x:v>.md</x:v>
      </x:c>
      <x:c r="F71" s="24" t="n">
        <x:v>2554</x:v>
      </x:c>
      <x:c r="G71" s="23" t="str">
        <x:v>DD55628B</x:v>
      </x:c>
      <x:c r="H71" s="22" t="str">
        <x:v>name: p2p-tecton; description: TECTON sub-agent — system architect, task decomposer, structural planner.; scope: TECTON sub-agent — system architect, task decomposer, structural planner.; version: 8.4.6-C; Tiêu đề: TECTON — Системный Архитект / Архитектура решения</x:v>
      </x:c>
      <x:c r="I71" s="22" t="str">
        <x:v>TECTON — kiến trúc hệ thống, phân rã nhiệm vụ và thiết kế cấu trúc.</x:v>
      </x:c>
      <x:c r="J71" s="22" t="str">
        <x:v>QUORUM &amp; đa agent</x:v>
      </x:c>
      <x:c r="K71" s="22" t="str">
        <x:v>Hồ sơ sub-agent plugin Claude</x:v>
      </x:c>
      <x:c r="L71" s="22" t="str">
        <x:v>Không phát hiện cặp tương ứng rõ ràng.</x:v>
      </x:c>
      <x:c r="M71" s="22" t="str">
        <x:v>source/8.4.6-C/plugin/.claude/agents/p2p-tecton.md</x:v>
      </x:c>
      <x:c r="N71" s="22" t="str">
        <x:v>Giữ nguyên byte trong source/8.4.6-C; bản Codex ghi đường dẫn nguồn và CRC.</x:v>
      </x:c>
      <x:c r="O71" s="22" t="str">
        <x:v>Custom agent TOML</x:v>
      </x:c>
      <x:c r="P71" s="22" t="str">
        <x:v>.codex/agents/p2p-tecton.toml</x:v>
      </x:c>
      <x:c r="Q71" s="22" t="str">
        <x:v>KEEP_SOURCE + REWRITE_NATIVE + PARITY_TEST</x:v>
      </x:c>
      <x:c r="R71" s="22" t="str">
        <x:v>Cao về vai trò · trung bình về runtime</x:v>
      </x:c>
      <x:c r="S71" s="22" t="str">
        <x:v>Codex nạp profile từ .codex/agents; phải xác nhận thread thật bằng UI hoặc /agent</x:v>
      </x:c>
      <x:c r="T71" s="22" t="str">
        <x:v>2 · 8 agent &amp; QUORUM</x:v>
      </x:c>
      <x:c r="U71" s="22" t="str">
        <x:v>P0 · Bắt buộc</x:v>
      </x:c>
      <x:c r="V71" s="22" t="str">
        <x:v>Đã chuyển cấu trúc; chưa chạy 8 thread thật</x:v>
      </x:c>
      <x:c r="W71" s="22" t="str">
        <x:v>TOML parse đạt; còn phải chạy đúng profile trong Codex host và thấy thread riêng bằng UI hoặc /agent.</x:v>
      </x:c>
      <x:c r="X71" s="22" t="str">
        <x:v>Sandbox của agent con không nên được hứa tuyệt đối; quyền phiên cha và cấu hình thực tế phải được kiểm tra. Bằng chứng: TOML_PARSE_PASS; REAL_THREAD_RUNTIME_NOT_EXECUTED.</x:v>
      </x:c>
      <x:c r="Y71" s="22" t="str">
        <x:v>https://learn.chatgpt.com/docs/agent-configuration/subagents</x:v>
      </x:c>
    </x:row>
    <x:row r="72" ht="68" customHeight="1">
      <x:c r="A72" s="23" t="n">
        <x:v>68</x:v>
      </x:c>
      <x:c r="B72" s="22" t="str">
        <x:v>8.4.6-C/plugin/.claude/agents/p2p-vector.md</x:v>
      </x:c>
      <x:c r="C72" s="22" t="str">
        <x:v>p2p-vector.md</x:v>
      </x:c>
      <x:c r="D72" s="22" t="str">
        <x:v>07 · Plugin: 8 agent</x:v>
      </x:c>
      <x:c r="E72" s="23" t="str">
        <x:v>.md</x:v>
      </x:c>
      <x:c r="F72" s="24" t="n">
        <x:v>2234</x:v>
      </x:c>
      <x:c r="G72" s="23" t="str">
        <x:v>D5D4FF7D</x:v>
      </x:c>
      <x:c r="H72" s="22" t="str">
        <x:v>name: p2p-vector; description: VECTOR sub-agent — optimization specialist, algorithm expert, performance analyst.; scope: VECTOR sub-agent — optimization specialist, algorithm expert, performance analyst.; version: 8.4.6-C; Tiêu đề: VECTOR — Оптимизатор и Алгоритмист / Оптимизированный план</x:v>
      </x:c>
      <x:c r="I72" s="22" t="str">
        <x:v>VECTOR — tối ưu thuật toán, hiệu năng và kế hoạch thực thi.</x:v>
      </x:c>
      <x:c r="J72" s="22" t="str">
        <x:v>QUORUM &amp; đa agent</x:v>
      </x:c>
      <x:c r="K72" s="22" t="str">
        <x:v>Hồ sơ sub-agent plugin Claude</x:v>
      </x:c>
      <x:c r="L72" s="22" t="str">
        <x:v>Không phát hiện cặp tương ứng rõ ràng.</x:v>
      </x:c>
      <x:c r="M72" s="22" t="str">
        <x:v>source/8.4.6-C/plugin/.claude/agents/p2p-vector.md</x:v>
      </x:c>
      <x:c r="N72" s="22" t="str">
        <x:v>Giữ nguyên byte trong source/8.4.6-C; bản Codex ghi đường dẫn nguồn và CRC.</x:v>
      </x:c>
      <x:c r="O72" s="22" t="str">
        <x:v>Custom agent TOML</x:v>
      </x:c>
      <x:c r="P72" s="22" t="str">
        <x:v>.codex/agents/p2p-vector.toml</x:v>
      </x:c>
      <x:c r="Q72" s="22" t="str">
        <x:v>KEEP_SOURCE + REWRITE_NATIVE + PARITY_TEST</x:v>
      </x:c>
      <x:c r="R72" s="22" t="str">
        <x:v>Cao về vai trò · trung bình về runtime</x:v>
      </x:c>
      <x:c r="S72" s="22" t="str">
        <x:v>Codex nạp profile từ .codex/agents; phải xác nhận thread thật bằng UI hoặc /agent</x:v>
      </x:c>
      <x:c r="T72" s="22" t="str">
        <x:v>2 · 8 agent &amp; QUORUM</x:v>
      </x:c>
      <x:c r="U72" s="22" t="str">
        <x:v>P0 · Bắt buộc</x:v>
      </x:c>
      <x:c r="V72" s="22" t="str">
        <x:v>Đã chuyển cấu trúc; chưa chạy 8 thread thật</x:v>
      </x:c>
      <x:c r="W72" s="22" t="str">
        <x:v>TOML parse đạt; còn phải chạy đúng profile trong Codex host và thấy thread riêng bằng UI hoặc /agent.</x:v>
      </x:c>
      <x:c r="X72" s="22" t="str">
        <x:v>Sandbox của agent con không nên được hứa tuyệt đối; quyền phiên cha và cấu hình thực tế phải được kiểm tra. Bằng chứng: TOML_PARSE_PASS; REAL_THREAD_RUNTIME_NOT_EXECUTED.</x:v>
      </x:c>
      <x:c r="Y72" s="22" t="str">
        <x:v>https://learn.chatgpt.com/docs/agent-configuration/subagents</x:v>
      </x:c>
    </x:row>
    <x:row r="73" ht="68" customHeight="1">
      <x:c r="A73" s="23" t="n">
        <x:v>69</x:v>
      </x:c>
      <x:c r="B73" s="22" t="str">
        <x:v>8.4.6-C/plugin/.claude/commands/p2p-atlas.md</x:v>
      </x:c>
      <x:c r="C73" s="22" t="str">
        <x:v>p2p-atlas.md</x:v>
      </x:c>
      <x:c r="D73" s="22" t="str">
        <x:v>08 · Plugin: 13 command</x:v>
      </x:c>
      <x:c r="E73" s="23" t="str">
        <x:v>.md</x:v>
      </x:c>
      <x:c r="F73" s="24" t="n">
        <x:v>1566</x:v>
      </x:c>
      <x:c r="G73" s="23" t="str">
        <x:v>F84AB5A4</x:v>
      </x:c>
      <x:c r="H73" s="22" t="str">
        <x:v>description: /p2p-atlas — show or update ATLAS task map.; scope: /p2p-atlas — show or update ATLAS task map.; version: 8.4.6-C; Tiêu đề: /p2p-atlas — Карта Задач ATLAS</x:v>
      </x:c>
      <x:c r="I73" s="22" t="str">
        <x:v>Lệnh xem/cập nhật bản đồ nhiệm vụ ATLAS.</x:v>
      </x:c>
      <x:c r="J73" s="22" t="str">
        <x:v>Lệnh &amp; trải nghiệm gọi</x:v>
      </x:c>
      <x:c r="K73" s="22" t="str">
        <x:v>Lệnh slash của plugin Claude</x:v>
      </x:c>
      <x:c r="L73" s="22" t="str">
        <x:v>Không phát hiện cặp tương ứng rõ ràng.</x:v>
      </x:c>
      <x:c r="M73" s="22" t="str">
        <x:v>source/8.4.6-C/plugin/.claude/commands/p2p-atlas.md</x:v>
      </x:c>
      <x:c r="N73" s="22" t="str">
        <x:v>Giữ nguyên byte trong source/8.4.6-C; bản Codex ghi đường dẫn nguồn và CRC.</x:v>
      </x:c>
      <x:c r="O73" s="22" t="str">
        <x:v>Skill gọi rõ ràng</x:v>
      </x:c>
      <x:c r="P73" s="22" t="str">
        <x:v>.agents/skills/p2p-atlas/SKILL.md</x:v>
      </x:c>
      <x:c r="Q73" s="22" t="str">
        <x:v>KEEP_SOURCE + CONVERT_TO_SKILL</x:v>
      </x:c>
      <x:c r="R73" s="22" t="str">
        <x:v>Trung bình · slash command đổi thành $skill</x:v>
      </x:c>
      <x:c r="S73" s="22" t="str">
        <x:v>Gọi rõ bằng $tên-skill; ChatGPT Work dùng @tên-skill</x:v>
      </x:c>
      <x:c r="T73" s="22" t="str">
        <x:v>3 · Lệnh &amp; prompt workflow</x:v>
      </x:c>
      <x:c r="U73" s="22" t="str">
        <x:v>P1 · Cao</x:v>
      </x:c>
      <x:c r="V73" s="22" t="str">
        <x:v>Đã chuyển và kiểm tra cấu trúc</x:v>
      </x:c>
      <x:c r="W73" s="22" t="str">
        <x:v>SKILL.md hợp lệ; gọi $skill đúng; trigger tự động không quá rộng; 3 ca đơn giản/trung bình/đối kháng đạt parity.</x:v>
      </x:c>
      <x:c r="X73" s="22" t="str">
        <x:v>Không thấy rủi ro riêng ngoài yêu cầu parity và truy vết nguồn. Đích đề xuất ban đầu: skills/p2p-atlas/SKILL.md. Đích thực tế trong gói: .agents/skills/p2p-atlas/SKILL.md. Bằng chứng: TARGET_PRESENT; SKILL_VALIDATOR_PASS.</x:v>
      </x:c>
      <x:c r="Y73" s="22" t="str">
        <x:v>https://learn.chatgpt.com/docs/build-skills</x:v>
      </x:c>
    </x:row>
    <x:row r="74" ht="68" customHeight="1">
      <x:c r="A74" s="23" t="n">
        <x:v>70</x:v>
      </x:c>
      <x:c r="B74" s="22" t="str">
        <x:v>8.4.6-C/plugin/.claude/commands/p2p-capsule.md</x:v>
      </x:c>
      <x:c r="C74" s="22" t="str">
        <x:v>p2p-capsule.md</x:v>
      </x:c>
      <x:c r="D74" s="22" t="str">
        <x:v>08 · Plugin: 13 command</x:v>
      </x:c>
      <x:c r="E74" s="23" t="str">
        <x:v>.md</x:v>
      </x:c>
      <x:c r="F74" s="24" t="n">
        <x:v>1373</x:v>
      </x:c>
      <x:c r="G74" s="23" t="str">
        <x:v>7C030B7B</x:v>
      </x:c>
      <x:c r="H74" s="22" t="str">
        <x:v>description: /p2p-capsule — save or load session context via CAPSULE protocol.; scope: /p2p-capsule — save or load session context via CAPSULE protocol.; version: 8.4.6-C; Tiêu đề: /p2p-capsule — Сохранение/Восстановление Контекста</x:v>
      </x:c>
      <x:c r="I74" s="22" t="str">
        <x:v>Lệnh lưu hoặc khôi phục ngữ cảnh phiên theo giao thức CAPSULE.</x:v>
      </x:c>
      <x:c r="J74" s="22" t="str">
        <x:v>Lệnh &amp; trải nghiệm gọi</x:v>
      </x:c>
      <x:c r="K74" s="22" t="str">
        <x:v>Lệnh slash của plugin Claude</x:v>
      </x:c>
      <x:c r="L74" s="22" t="str">
        <x:v>Không phát hiện cặp tương ứng rõ ràng.</x:v>
      </x:c>
      <x:c r="M74" s="22" t="str">
        <x:v>source/8.4.6-C/plugin/.claude/commands/p2p-capsule.md</x:v>
      </x:c>
      <x:c r="N74" s="22" t="str">
        <x:v>Giữ nguyên byte trong source/8.4.6-C; bản Codex ghi đường dẫn nguồn và CRC.</x:v>
      </x:c>
      <x:c r="O74" s="22" t="str">
        <x:v>Skill gọi rõ ràng</x:v>
      </x:c>
      <x:c r="P74" s="22" t="str">
        <x:v>.agents/skills/p2p-capsule/SKILL.md</x:v>
      </x:c>
      <x:c r="Q74" s="22" t="str">
        <x:v>KEEP_SOURCE + CONVERT_TO_SKILL</x:v>
      </x:c>
      <x:c r="R74" s="22" t="str">
        <x:v>Trung bình · slash command đổi thành $skill</x:v>
      </x:c>
      <x:c r="S74" s="22" t="str">
        <x:v>Gọi rõ bằng $tên-skill; ChatGPT Work dùng @tên-skill</x:v>
      </x:c>
      <x:c r="T74" s="22" t="str">
        <x:v>3 · Lệnh &amp; prompt workflow</x:v>
      </x:c>
      <x:c r="U74" s="22" t="str">
        <x:v>P1 · Cao</x:v>
      </x:c>
      <x:c r="V74" s="22" t="str">
        <x:v>Đã chuyển và kiểm tra cấu trúc</x:v>
      </x:c>
      <x:c r="W74" s="22" t="str">
        <x:v>SKILL.md hợp lệ; gọi $skill đúng; trigger tự động không quá rộng; 3 ca đơn giản/trung bình/đối kháng đạt parity.</x:v>
      </x:c>
      <x:c r="X74" s="22" t="str">
        <x:v>Không thấy rủi ro riêng ngoài yêu cầu parity và truy vết nguồn. Đích đề xuất ban đầu: skills/p2p-capsule/SKILL.md. Đích thực tế trong gói: .agents/skills/p2p-capsule/SKILL.md. Bằng chứng: TARGET_PRESENT; SKILL_VALIDATOR_PASS.</x:v>
      </x:c>
      <x:c r="Y74" s="22" t="str">
        <x:v>https://learn.chatgpt.com/docs/build-skills</x:v>
      </x:c>
    </x:row>
    <x:row r="75" ht="68" customHeight="1">
      <x:c r="A75" s="23" t="n">
        <x:v>71</x:v>
      </x:c>
      <x:c r="B75" s="22" t="str">
        <x:v>8.4.6-C/plugin/.claude/commands/p2p-chain.md</x:v>
      </x:c>
      <x:c r="C75" s="22" t="str">
        <x:v>p2p-chain.md</x:v>
      </x:c>
      <x:c r="D75" s="22" t="str">
        <x:v>08 · Plugin: 13 command</x:v>
      </x:c>
      <x:c r="E75" s="23" t="str">
        <x:v>.md</x:v>
      </x:c>
      <x:c r="F75" s="24" t="n">
        <x:v>1168</x:v>
      </x:c>
      <x:c r="G75" s="23" t="str">
        <x:v>1DD058F4</x:v>
      </x:c>
      <x:c r="H75" s="22" t="str">
        <x:v>description: /p2p-chain — run custom agent chain in specified order.; scope: /p2p-chain — run custom agent chain in specified order.; version: 8.4.6-C; Tiêu đề: /p2p-chain — Цепочка Агентов</x:v>
      </x:c>
      <x:c r="I75" s="22" t="str">
        <x:v>Lệnh chạy chuỗi agent theo thứ tự do người dùng chọn.</x:v>
      </x:c>
      <x:c r="J75" s="22" t="str">
        <x:v>Lệnh &amp; trải nghiệm gọi</x:v>
      </x:c>
      <x:c r="K75" s="22" t="str">
        <x:v>Lệnh slash của plugin Claude</x:v>
      </x:c>
      <x:c r="L75" s="22" t="str">
        <x:v>Không phát hiện cặp tương ứng rõ ràng.</x:v>
      </x:c>
      <x:c r="M75" s="22" t="str">
        <x:v>source/8.4.6-C/plugin/.claude/commands/p2p-chain.md</x:v>
      </x:c>
      <x:c r="N75" s="22" t="str">
        <x:v>Giữ nguyên byte trong source/8.4.6-C; bản Codex ghi đường dẫn nguồn và CRC.</x:v>
      </x:c>
      <x:c r="O75" s="22" t="str">
        <x:v>Skill gọi rõ ràng</x:v>
      </x:c>
      <x:c r="P75" s="22" t="str">
        <x:v>.agents/skills/p2p-chain/SKILL.md</x:v>
      </x:c>
      <x:c r="Q75" s="22" t="str">
        <x:v>KEEP_SOURCE + CONVERT_TO_SKILL</x:v>
      </x:c>
      <x:c r="R75" s="22" t="str">
        <x:v>Trung bình · slash command đổi thành $skill</x:v>
      </x:c>
      <x:c r="S75" s="22" t="str">
        <x:v>Gọi rõ bằng $tên-skill; ChatGPT Work dùng @tên-skill</x:v>
      </x:c>
      <x:c r="T75" s="22" t="str">
        <x:v>3 · Lệnh &amp; prompt workflow</x:v>
      </x:c>
      <x:c r="U75" s="22" t="str">
        <x:v>P1 · Cao</x:v>
      </x:c>
      <x:c r="V75" s="22" t="str">
        <x:v>Đã chuyển và kiểm tra cấu trúc</x:v>
      </x:c>
      <x:c r="W75" s="22" t="str">
        <x:v>SKILL.md hợp lệ; gọi $skill đúng; trigger tự động không quá rộng; 3 ca đơn giản/trung bình/đối kháng đạt parity.</x:v>
      </x:c>
      <x:c r="X75" s="22" t="str">
        <x:v>Không thấy rủi ro riêng ngoài yêu cầu parity và truy vết nguồn. Đích đề xuất ban đầu: skills/p2p-chain/SKILL.md. Đích thực tế trong gói: .agents/skills/p2p-chain/SKILL.md. Bằng chứng: TARGET_PRESENT; SKILL_VALIDATOR_PASS.</x:v>
      </x:c>
      <x:c r="Y75" s="22" t="str">
        <x:v>https://learn.chatgpt.com/docs/agent-configuration/subagents</x:v>
      </x:c>
    </x:row>
    <x:row r="76" ht="68" customHeight="1">
      <x:c r="A76" s="23" t="n">
        <x:v>72</x:v>
      </x:c>
      <x:c r="B76" s="22" t="str">
        <x:v>8.4.6-C/plugin/.claude/commands/p2p-download.md</x:v>
      </x:c>
      <x:c r="C76" s="22" t="str">
        <x:v>p2p-download.md</x:v>
      </x:c>
      <x:c r="D76" s="22" t="str">
        <x:v>08 · Plugin: 13 command</x:v>
      </x:c>
      <x:c r="E76" s="23" t="str">
        <x:v>.md</x:v>
      </x:c>
      <x:c r="F76" s="24" t="n">
        <x:v>1293</x:v>
      </x:c>
      <x:c r="G76" s="23" t="str">
        <x:v>14FA54EC</x:v>
      </x:c>
      <x:c r="H76" s="22" t="str">
        <x:v>description: /p2p-download — загрузка актуальных LIVE SPECS с удалённого Gist.; scope: /p2p-download — full integration; fetch LIVE SPECS from gist.; version: 8.4.6-C; Tiêu đề: /p2p-download — загрузка актуальных LIVE SPECS</x:v>
      </x:c>
      <x:c r="I76" s="22" t="str">
        <x:v>Lệnh tải LIVE SPECS từ nguồn từ xa; có tác động mạng nên phải xác minh và xin phép.</x:v>
      </x:c>
      <x:c r="J76" s="22" t="str">
        <x:v>Lệnh &amp; trải nghiệm gọi</x:v>
      </x:c>
      <x:c r="K76" s="22" t="str">
        <x:v>Lệnh slash của plugin Claude</x:v>
      </x:c>
      <x:c r="L76" s="22" t="str">
        <x:v>Không phát hiện cặp tương ứng rõ ràng.</x:v>
      </x:c>
      <x:c r="M76" s="22" t="str">
        <x:v>source/8.4.6-C/plugin/.claude/commands/p2p-download.md</x:v>
      </x:c>
      <x:c r="N76" s="22" t="str">
        <x:v>Giữ nguyên byte trong source/8.4.6-C; bản Codex ghi đường dẫn nguồn và CRC.</x:v>
      </x:c>
      <x:c r="O76" s="22" t="str">
        <x:v>Skill gọi rõ ràng</x:v>
      </x:c>
      <x:c r="P76" s="22" t="str">
        <x:v>.agents/skills/p2p-download/SKILL.md</x:v>
      </x:c>
      <x:c r="Q76" s="22" t="str">
        <x:v>KEEP_SOURCE + CONVERT_TO_SKILL + SECURITY_REVIEW</x:v>
      </x:c>
      <x:c r="R76" s="22" t="str">
        <x:v>Trung bình · slash command đổi thành $skill</x:v>
      </x:c>
      <x:c r="S76" s="22" t="str">
        <x:v>Gọi rõ bằng $tên-skill; ChatGPT Work dùng @tên-skill</x:v>
      </x:c>
      <x:c r="T76" s="22" t="str">
        <x:v>3 · Lệnh &amp; prompt workflow</x:v>
      </x:c>
      <x:c r="U76" s="22" t="str">
        <x:v>P1 · Cao</x:v>
      </x:c>
      <x:c r="V76" s="22" t="str">
        <x:v>Đã chuyển và kiểm tra cấu trúc</x:v>
      </x:c>
      <x:c r="W76" s="22" t="str">
        <x:v>SKILL.md hợp lệ; gọi $skill đúng; trigger tự động không quá rộng; 3 ca đơn giản/trung bình/đối kháng đạt parity.</x:v>
      </x:c>
      <x:c r="X76" s="22" t="str">
        <x:v>Có truy cập mạng và cập nhật dữ liệu; phải xác minh URL, chữ ký/checksum và xin phép trước khi ghi. Đích đề xuất ban đầu: skills/p2p-download/SKILL.md. Đích thực tế trong gói: .agents/skills/p2p-download/SKILL.md. Bằng chứng: TARGET_PRESENT; SKILL_VALIDATOR_PASS.</x:v>
      </x:c>
      <x:c r="Y76" s="22" t="str">
        <x:v>https://learn.chatgpt.com/docs/extend/mcp</x:v>
      </x:c>
    </x:row>
    <x:row r="77" ht="68" customHeight="1">
      <x:c r="A77" s="23" t="n">
        <x:v>73</x:v>
      </x:c>
      <x:c r="B77" s="22" t="str">
        <x:v>8.4.6-C/plugin/.claude/commands/p2p-explore.md</x:v>
      </x:c>
      <x:c r="C77" s="22" t="str">
        <x:v>p2p-explore.md</x:v>
      </x:c>
      <x:c r="D77" s="22" t="str">
        <x:v>08 · Plugin: 13 command</x:v>
      </x:c>
      <x:c r="E77" s="23" t="str">
        <x:v>.md</x:v>
      </x:c>
      <x:c r="F77" s="24" t="n">
        <x:v>1174</x:v>
      </x:c>
      <x:c r="G77" s="23" t="str">
        <x:v>F6223CCB</x:v>
      </x:c>
      <x:c r="H77" s="22" t="str">
        <x:v>description: /p2p-explore — activate Exploration Mode (Cortex Patch A).; scope: /p2p-explore — activate Exploration Mode (Cortex Patch A).; version: 8.4.6-C; Tiêu đề: /p2p-explore — Exploration Mode</x:v>
      </x:c>
      <x:c r="I77" s="22" t="str">
        <x:v>Lệnh bật Exploration Mode để mở rộng giả thuyết và hướng thử.</x:v>
      </x:c>
      <x:c r="J77" s="22" t="str">
        <x:v>Lệnh &amp; trải nghiệm gọi</x:v>
      </x:c>
      <x:c r="K77" s="22" t="str">
        <x:v>Lệnh slash của plugin Claude</x:v>
      </x:c>
      <x:c r="L77" s="22" t="str">
        <x:v>Không phát hiện cặp tương ứng rõ ràng.</x:v>
      </x:c>
      <x:c r="M77" s="22" t="str">
        <x:v>source/8.4.6-C/plugin/.claude/commands/p2p-explore.md</x:v>
      </x:c>
      <x:c r="N77" s="22" t="str">
        <x:v>Giữ nguyên byte trong source/8.4.6-C; bản Codex ghi đường dẫn nguồn và CRC.</x:v>
      </x:c>
      <x:c r="O77" s="22" t="str">
        <x:v>Skill gọi rõ ràng</x:v>
      </x:c>
      <x:c r="P77" s="22" t="str">
        <x:v>.agents/skills/p2p-explore/SKILL.md</x:v>
      </x:c>
      <x:c r="Q77" s="22" t="str">
        <x:v>KEEP_SOURCE + CONVERT_TO_SKILL</x:v>
      </x:c>
      <x:c r="R77" s="22" t="str">
        <x:v>Trung bình · slash command đổi thành $skill</x:v>
      </x:c>
      <x:c r="S77" s="22" t="str">
        <x:v>Gọi rõ bằng $tên-skill; ChatGPT Work dùng @tên-skill</x:v>
      </x:c>
      <x:c r="T77" s="22" t="str">
        <x:v>3 · Lệnh &amp; prompt workflow</x:v>
      </x:c>
      <x:c r="U77" s="22" t="str">
        <x:v>P1 · Cao</x:v>
      </x:c>
      <x:c r="V77" s="22" t="str">
        <x:v>Đã chuyển và kiểm tra cấu trúc</x:v>
      </x:c>
      <x:c r="W77" s="22" t="str">
        <x:v>SKILL.md hợp lệ; gọi $skill đúng; trigger tự động không quá rộng; 3 ca đơn giản/trung bình/đối kháng đạt parity.</x:v>
      </x:c>
      <x:c r="X77" s="22" t="str">
        <x:v>Không thấy rủi ro riêng ngoài yêu cầu parity và truy vết nguồn. Đích đề xuất ban đầu: skills/p2p-explore/SKILL.md. Đích thực tế trong gói: .agents/skills/p2p-explore/SKILL.md. Bằng chứng: TARGET_PRESENT; SKILL_VALIDATOR_PASS.</x:v>
      </x:c>
      <x:c r="Y77" s="22" t="str">
        <x:v>https://learn.chatgpt.com/docs/build-skills</x:v>
      </x:c>
    </x:row>
    <x:row r="78" ht="68" customHeight="1">
      <x:c r="A78" s="23" t="n">
        <x:v>74</x:v>
      </x:c>
      <x:c r="B78" s="22" t="str">
        <x:v>8.4.6-C/plugin/.claude/commands/p2p-feedback.md</x:v>
      </x:c>
      <x:c r="C78" s="22" t="str">
        <x:v>p2p-feedback.md</x:v>
      </x:c>
      <x:c r="D78" s="22" t="str">
        <x:v>08 · Plugin: 13 command</x:v>
      </x:c>
      <x:c r="E78" s="23" t="str">
        <x:v>.md</x:v>
      </x:c>
      <x:c r="F78" s="24" t="n">
        <x:v>1157</x:v>
      </x:c>
      <x:c r="G78" s="23" t="str">
        <x:v>47B83087</x:v>
      </x:c>
      <x:c r="H78" s="22" t="str">
        <x:v>description: /p2p-feedback — record quality feedback, update routing memory.; scope: /p2p-feedback — record quality feedback, update routing memory.; version: 8.4.6-C; Tiêu đề: /p2p-feedback — Обратная Связь</x:v>
      </x:c>
      <x:c r="I78" s="22" t="str">
        <x:v>Lệnh ghi phản hồi chất lượng và cập nhật bộ nhớ định tuyến.</x:v>
      </x:c>
      <x:c r="J78" s="22" t="str">
        <x:v>Lệnh &amp; trải nghiệm gọi</x:v>
      </x:c>
      <x:c r="K78" s="22" t="str">
        <x:v>Lệnh slash của plugin Claude</x:v>
      </x:c>
      <x:c r="L78" s="22" t="str">
        <x:v>Không phát hiện cặp tương ứng rõ ràng.</x:v>
      </x:c>
      <x:c r="M78" s="22" t="str">
        <x:v>source/8.4.6-C/plugin/.claude/commands/p2p-feedback.md</x:v>
      </x:c>
      <x:c r="N78" s="22" t="str">
        <x:v>Giữ nguyên byte trong source/8.4.6-C; bản Codex ghi đường dẫn nguồn và CRC.</x:v>
      </x:c>
      <x:c r="O78" s="22" t="str">
        <x:v>Skill gọi rõ ràng</x:v>
      </x:c>
      <x:c r="P78" s="22" t="str">
        <x:v>.agents/skills/p2p-feedback/SKILL.md</x:v>
      </x:c>
      <x:c r="Q78" s="22" t="str">
        <x:v>KEEP_SOURCE + CONVERT_TO_SKILL</x:v>
      </x:c>
      <x:c r="R78" s="22" t="str">
        <x:v>Trung bình · slash command đổi thành $skill</x:v>
      </x:c>
      <x:c r="S78" s="22" t="str">
        <x:v>Gọi rõ bằng $tên-skill; ChatGPT Work dùng @tên-skill</x:v>
      </x:c>
      <x:c r="T78" s="22" t="str">
        <x:v>3 · Lệnh &amp; prompt workflow</x:v>
      </x:c>
      <x:c r="U78" s="22" t="str">
        <x:v>P1 · Cao</x:v>
      </x:c>
      <x:c r="V78" s="22" t="str">
        <x:v>Đã chuyển và kiểm tra cấu trúc</x:v>
      </x:c>
      <x:c r="W78" s="22" t="str">
        <x:v>SKILL.md hợp lệ; gọi $skill đúng; trigger tự động không quá rộng; 3 ca đơn giản/trung bình/đối kháng đạt parity.</x:v>
      </x:c>
      <x:c r="X78" s="22" t="str">
        <x:v>Không thấy rủi ro riêng ngoài yêu cầu parity và truy vết nguồn. Đích đề xuất ban đầu: skills/p2p-feedback/SKILL.md. Đích thực tế trong gói: .agents/skills/p2p-feedback/SKILL.md. Bằng chứng: TARGET_PRESENT; SKILL_VALIDATOR_PASS.</x:v>
      </x:c>
      <x:c r="Y78" s="22" t="str">
        <x:v>https://learn.chatgpt.com/docs/build-skills</x:v>
      </x:c>
    </x:row>
    <x:row r="79" ht="68" customHeight="1">
      <x:c r="A79" s="23" t="n">
        <x:v>75</x:v>
      </x:c>
      <x:c r="B79" s="22" t="str">
        <x:v>8.4.6-C/plugin/.claude/commands/p2p-karpathy.md</x:v>
      </x:c>
      <x:c r="C79" s="22" t="str">
        <x:v>p2p-karpathy.md</x:v>
      </x:c>
      <x:c r="D79" s="22" t="str">
        <x:v>08 · Plugin: 13 command</x:v>
      </x:c>
      <x:c r="E79" s="23" t="str">
        <x:v>.md</x:v>
      </x:c>
      <x:c r="F79" s="24" t="n">
        <x:v>2303</x:v>
      </x:c>
      <x:c r="G79" s="23" t="str">
        <x:v>54B84481</x:v>
      </x:c>
      <x:c r="H79" s="22" t="str">
        <x:v>description: P2P Karpathy Coding Mode — precision behavioral constraints for surgical code edits. Minimalist approach — Template M + PRE_CODE_DECLARATION. Composable with agentic (M+R) and IDE (M+I) templates.</x:v>
      </x:c>
      <x:c r="I79" s="22" t="str">
        <x:v>Chế độ sửa code tối thiểu, chính xác và có khai báo trước thay đổi.</x:v>
      </x:c>
      <x:c r="J79" s="22" t="str">
        <x:v>Lệnh &amp; trải nghiệm gọi</x:v>
      </x:c>
      <x:c r="K79" s="22" t="str">
        <x:v>Lệnh slash của plugin Claude</x:v>
      </x:c>
      <x:c r="L79" s="22" t="str">
        <x:v>Không phát hiện cặp tương ứng rõ ràng.</x:v>
      </x:c>
      <x:c r="M79" s="22" t="str">
        <x:v>source/8.4.6-C/plugin/.claude/commands/p2p-karpathy.md</x:v>
      </x:c>
      <x:c r="N79" s="22" t="str">
        <x:v>Giữ nguyên byte trong source/8.4.6-C; bản Codex ghi đường dẫn nguồn và CRC.</x:v>
      </x:c>
      <x:c r="O79" s="22" t="str">
        <x:v>Skill gọi rõ ràng</x:v>
      </x:c>
      <x:c r="P79" s="22" t="str">
        <x:v>.agents/skills/p2p-karpathy/SKILL.md</x:v>
      </x:c>
      <x:c r="Q79" s="22" t="str">
        <x:v>KEEP_SOURCE + CONVERT_TO_SKILL</x:v>
      </x:c>
      <x:c r="R79" s="22" t="str">
        <x:v>Trung bình · slash command đổi thành $skill</x:v>
      </x:c>
      <x:c r="S79" s="22" t="str">
        <x:v>Gọi rõ bằng $tên-skill; ChatGPT Work dùng @tên-skill</x:v>
      </x:c>
      <x:c r="T79" s="22" t="str">
        <x:v>3 · Lệnh &amp; prompt workflow</x:v>
      </x:c>
      <x:c r="U79" s="22" t="str">
        <x:v>P1 · Cao</x:v>
      </x:c>
      <x:c r="V79" s="22" t="str">
        <x:v>Đã chuyển và kiểm tra cấu trúc</x:v>
      </x:c>
      <x:c r="W79" s="22" t="str">
        <x:v>SKILL.md hợp lệ; gọi $skill đúng; trigger tự động không quá rộng; 3 ca đơn giản/trung bình/đối kháng đạt parity.</x:v>
      </x:c>
      <x:c r="X79" s="22" t="str">
        <x:v>Không thấy rủi ro riêng ngoài yêu cầu parity và truy vết nguồn. Đích đề xuất ban đầu: skills/p2p-karpathy/SKILL.md. Đích thực tế trong gói: .agents/skills/p2p-karpathy/SKILL.md. Bằng chứng: TARGET_PRESENT; SKILL_VALIDATOR_PASS.</x:v>
      </x:c>
      <x:c r="Y79" s="22" t="str">
        <x:v>https://learn.chatgpt.com/docs/build-skills</x:v>
      </x:c>
    </x:row>
    <x:row r="80" ht="68" customHeight="1">
      <x:c r="A80" s="23" t="n">
        <x:v>76</x:v>
      </x:c>
      <x:c r="B80" s="22" t="str">
        <x:v>8.4.6-C/plugin/.claude/commands/p2p-metrics.md</x:v>
      </x:c>
      <x:c r="C80" s="22" t="str">
        <x:v>p2p-metrics.md</x:v>
      </x:c>
      <x:c r="D80" s="22" t="str">
        <x:v>08 · Plugin: 13 command</x:v>
      </x:c>
      <x:c r="E80" s="23" t="str">
        <x:v>.md</x:v>
      </x:c>
      <x:c r="F80" s="24" t="n">
        <x:v>1045</x:v>
      </x:c>
      <x:c r="G80" s="23" t="str">
        <x:v>33888F03</x:v>
      </x:c>
      <x:c r="H80" s="22" t="str">
        <x:v>description: /p2p-metrics — show session metrics dashboard and routing memory.; scope: /p2p-metrics — show session metrics dashboard and routing memory.; version: 8.4.6-C; Tiêu đề: /p2p-metrics — Метрики Сессии</x:v>
      </x:c>
      <x:c r="I80" s="22" t="str">
        <x:v>Lệnh hiển thị dashboard chỉ số phiên và lịch sử định tuyến.</x:v>
      </x:c>
      <x:c r="J80" s="22" t="str">
        <x:v>Lệnh &amp; trải nghiệm gọi</x:v>
      </x:c>
      <x:c r="K80" s="22" t="str">
        <x:v>Lệnh slash của plugin Claude</x:v>
      </x:c>
      <x:c r="L80" s="22" t="str">
        <x:v>Không phát hiện cặp tương ứng rõ ràng.</x:v>
      </x:c>
      <x:c r="M80" s="22" t="str">
        <x:v>source/8.4.6-C/plugin/.claude/commands/p2p-metrics.md</x:v>
      </x:c>
      <x:c r="N80" s="22" t="str">
        <x:v>Giữ nguyên byte trong source/8.4.6-C; bản Codex ghi đường dẫn nguồn và CRC.</x:v>
      </x:c>
      <x:c r="O80" s="22" t="str">
        <x:v>Skill gọi rõ ràng</x:v>
      </x:c>
      <x:c r="P80" s="22" t="str">
        <x:v>.agents/skills/p2p-metrics/SKILL.md</x:v>
      </x:c>
      <x:c r="Q80" s="22" t="str">
        <x:v>KEEP_SOURCE + CONVERT_TO_SKILL</x:v>
      </x:c>
      <x:c r="R80" s="22" t="str">
        <x:v>Trung bình · slash command đổi thành $skill</x:v>
      </x:c>
      <x:c r="S80" s="22" t="str">
        <x:v>Gọi rõ bằng $tên-skill; ChatGPT Work dùng @tên-skill</x:v>
      </x:c>
      <x:c r="T80" s="22" t="str">
        <x:v>3 · Lệnh &amp; prompt workflow</x:v>
      </x:c>
      <x:c r="U80" s="22" t="str">
        <x:v>P1 · Cao</x:v>
      </x:c>
      <x:c r="V80" s="22" t="str">
        <x:v>Đã chuyển và kiểm tra cấu trúc</x:v>
      </x:c>
      <x:c r="W80" s="22" t="str">
        <x:v>SKILL.md hợp lệ; gọi $skill đúng; trigger tự động không quá rộng; 3 ca đơn giản/trung bình/đối kháng đạt parity.</x:v>
      </x:c>
      <x:c r="X80" s="22" t="str">
        <x:v>Không thấy rủi ro riêng ngoài yêu cầu parity và truy vết nguồn. Đích đề xuất ban đầu: skills/p2p-metrics/SKILL.md. Đích thực tế trong gói: .agents/skills/p2p-metrics/SKILL.md. Bằng chứng: TARGET_PRESENT; SKILL_VALIDATOR_PASS.</x:v>
      </x:c>
      <x:c r="Y80" s="22" t="str">
        <x:v>https://learn.chatgpt.com/docs/build-skills</x:v>
      </x:c>
    </x:row>
    <x:row r="81" ht="68" customHeight="1">
      <x:c r="A81" s="23" t="n">
        <x:v>77</x:v>
      </x:c>
      <x:c r="B81" s="22" t="str">
        <x:v>8.4.6-C/plugin/.claude/commands/p2p-pxpipe.md</x:v>
      </x:c>
      <x:c r="C81" s="22" t="str">
        <x:v>p2p-pxpipe.md</x:v>
      </x:c>
      <x:c r="D81" s="22" t="str">
        <x:v>08 · Plugin: 13 command</x:v>
      </x:c>
      <x:c r="E81" s="23" t="str">
        <x:v>.md</x:v>
      </x:c>
      <x:c r="F81" s="24" t="n">
        <x:v>3962</x:v>
      </x:c>
      <x:c r="G81" s="23" t="str">
        <x:v>EB5A5CD3</x:v>
      </x:c>
      <x:c r="H81" s="22" t="str">
        <x:v>description: /p2p-pxpipe — оптическая экономия токенов: прокси-режим (весь трафик) или разовое сжатие хендоффа.; scope: /p2p-pxpipe — включить/выключить прокси оптического сжатия (pxpipe) или измерить выгоду по файлу.; version: 8.4.6-C; Tiêu đề: /p2p-pxpipe — Оптическая экономия токенов (pxpipe)</x:v>
      </x:c>
      <x:c r="I81" s="22" t="str">
        <x:v>Lệnh bật/tắt hoặc đo hiệu quả nén quang học PXPIPE.</x:v>
      </x:c>
      <x:c r="J81" s="22" t="str">
        <x:v>Lệnh &amp; trải nghiệm gọi</x:v>
      </x:c>
      <x:c r="K81" s="22" t="str">
        <x:v>Lệnh slash của plugin Claude</x:v>
      </x:c>
      <x:c r="L81" s="22" t="str">
        <x:v>Không phát hiện cặp tương ứng rõ ràng.</x:v>
      </x:c>
      <x:c r="M81" s="22" t="str">
        <x:v>source/8.4.6-C/plugin/.claude/commands/p2p-pxpipe.md</x:v>
      </x:c>
      <x:c r="N81" s="22" t="str">
        <x:v>Giữ nguyên byte trong source/8.4.6-C; bản Codex ghi đường dẫn nguồn và CRC.</x:v>
      </x:c>
      <x:c r="O81" s="22" t="str">
        <x:v>Skill gọi rõ ràng</x:v>
      </x:c>
      <x:c r="P81" s="22" t="str">
        <x:v>.agents/skills/p2p-pxpipe/SKILL.md</x:v>
      </x:c>
      <x:c r="Q81" s="22" t="str">
        <x:v>KEEP_SOURCE + CONVERT_TO_SKILL + OPTIONAL_GATE</x:v>
      </x:c>
      <x:c r="R81" s="22" t="str">
        <x:v>Trung bình · slash command đổi thành $skill</x:v>
      </x:c>
      <x:c r="S81" s="22" t="str">
        <x:v>Gọi rõ bằng $tên-skill; ChatGPT Work dùng @tên-skill</x:v>
      </x:c>
      <x:c r="T81" s="22" t="str">
        <x:v>3 · Lệnh &amp; prompt workflow</x:v>
      </x:c>
      <x:c r="U81" s="22" t="str">
        <x:v>P1 · Cao</x:v>
      </x:c>
      <x:c r="V81" s="22" t="str">
        <x:v>Đã chuyển và kiểm tra cấu trúc</x:v>
      </x:c>
      <x:c r="W81" s="22" t="str">
        <x:v>SKILL.md hợp lệ; gọi $skill đúng; trigger tự động không quá rộng; 3 ca đơn giản/trung bình/đối kháng đạt parity.</x:v>
      </x:c>
      <x:c r="X81" s="22" t="str">
        <x:v>Không bật mặc định; lợi ích phụ thuộc model đọc ảnh, độ chính xác và chi phí encode/decode. Đích đề xuất ban đầu: skills/p2p-pxpipe/SKILL.md. Đích thực tế trong gói: .agents/skills/p2p-pxpipe/SKILL.md. Bằng chứng: TARGET_PRESENT; SKILL_VALIDATOR_PASS.</x:v>
      </x:c>
      <x:c r="Y81" s="22" t="str">
        <x:v>https://learn.chatgpt.com/docs/build-skills</x:v>
      </x:c>
    </x:row>
    <x:row r="82" ht="68" customHeight="1">
      <x:c r="A82" s="23" t="n">
        <x:v>78</x:v>
      </x:c>
      <x:c r="B82" s="22" t="str">
        <x:v>8.4.6-C/plugin/.claude/commands/p2p-quorum.md</x:v>
      </x:c>
      <x:c r="C82" s="22" t="str">
        <x:v>p2p-quorum.md</x:v>
      </x:c>
      <x:c r="D82" s="22" t="str">
        <x:v>08 · Plugin: 13 command</x:v>
      </x:c>
      <x:c r="E82" s="23" t="str">
        <x:v>.md</x:v>
      </x:c>
      <x:c r="F82" s="24" t="n">
        <x:v>1795</x:v>
      </x:c>
      <x:c r="G82" s="23" t="str">
        <x:v>50FF811B</x:v>
      </x:c>
      <x:c r="H82" s="22" t="str">
        <x:v>description: /p2p-quorum — launch full 8-agent QUORUM or sub-QUORUM pattern.; scope: /p2p-quorum — launch full 8-agent QUORUM or sub-QUORUM pattern.; version: 8.4.6-C; Tiêu đề: /p2p-quorum — Запуск QUORUM</x:v>
      </x:c>
      <x:c r="I82" s="22" t="str">
        <x:v>Lệnh chạy QUORUM đủ 8 agent hoặc một mẫu sub-QUORUM.</x:v>
      </x:c>
      <x:c r="J82" s="22" t="str">
        <x:v>QUORUM &amp; đa agent</x:v>
      </x:c>
      <x:c r="K82" s="22" t="str">
        <x:v>Lệnh slash của plugin Claude</x:v>
      </x:c>
      <x:c r="L82" s="22" t="str">
        <x:v>Không phát hiện cặp tương ứng rõ ràng.</x:v>
      </x:c>
      <x:c r="M82" s="22" t="str">
        <x:v>source/8.4.6-C/plugin/.claude/commands/p2p-quorum.md</x:v>
      </x:c>
      <x:c r="N82" s="22" t="str">
        <x:v>Giữ nguyên byte trong source/8.4.6-C; bản Codex ghi đường dẫn nguồn và CRC.</x:v>
      </x:c>
      <x:c r="O82" s="22" t="str">
        <x:v>Skill gọi rõ ràng</x:v>
      </x:c>
      <x:c r="P82" s="22" t="str">
        <x:v>.agents/skills/p2p-quorum/SKILL.md</x:v>
      </x:c>
      <x:c r="Q82" s="22" t="str">
        <x:v>KEEP_SOURCE + CONVERT_TO_SKILL</x:v>
      </x:c>
      <x:c r="R82" s="22" t="str">
        <x:v>Trung bình · slash command đổi thành $skill</x:v>
      </x:c>
      <x:c r="S82" s="22" t="str">
        <x:v>Gọi rõ bằng $tên-skill; ChatGPT Work dùng @tên-skill</x:v>
      </x:c>
      <x:c r="T82" s="22" t="str">
        <x:v>2 · 8 agent &amp; QUORUM</x:v>
      </x:c>
      <x:c r="U82" s="22" t="str">
        <x:v>P0 · Bắt buộc</x:v>
      </x:c>
      <x:c r="V82" s="22" t="str">
        <x:v>Đã chuyển và kiểm tra cấu trúc</x:v>
      </x:c>
      <x:c r="W82" s="22" t="str">
        <x:v>SKILL.md hợp lệ; gọi $skill đúng; trigger tự động không quá rộng; 3 ca đơn giản/trung bình/đối kháng đạt parity.</x:v>
      </x:c>
      <x:c r="X82" s="22" t="str">
        <x:v>Không thấy rủi ro riêng ngoài yêu cầu parity và truy vết nguồn. Đích đề xuất ban đầu: skills/p2p-quorum/SKILL.md. Đích thực tế trong gói: .agents/skills/p2p-quorum/SKILL.md. Bằng chứng: TARGET_PRESENT; SKILL_VALIDATOR_PASS.</x:v>
      </x:c>
      <x:c r="Y82" s="22" t="str">
        <x:v>https://learn.chatgpt.com/docs/agent-configuration/subagents</x:v>
      </x:c>
    </x:row>
    <x:row r="83" ht="68" customHeight="1">
      <x:c r="A83" s="23" t="n">
        <x:v>79</x:v>
      </x:c>
      <x:c r="B83" s="22" t="str">
        <x:v>8.4.6-C/plugin/.claude/commands/p2p-scope.md</x:v>
      </x:c>
      <x:c r="C83" s="22" t="str">
        <x:v>p2p-scope.md</x:v>
      </x:c>
      <x:c r="D83" s="22" t="str">
        <x:v>08 · Plugin: 13 command</x:v>
      </x:c>
      <x:c r="E83" s="23" t="str">
        <x:v>.md</x:v>
      </x:c>
      <x:c r="F83" s="24" t="n">
        <x:v>1262</x:v>
      </x:c>
      <x:c r="G83" s="23" t="str">
        <x:v>3C295D92</x:v>
      </x:c>
      <x:c r="H83" s="22" t="str">
        <x:v>description: /p2p-scope — activate SCOPE.HELM for large multi-step tasks.; scope: /p2p-scope — activate SCOPE.HELM for large multi-step tasks.; version: 8.4.6-C; Tiêu đề: /p2p-scope — SCOPE.HELM</x:v>
      </x:c>
      <x:c r="I83" s="22" t="str">
        <x:v>Lệnh bật SCOPE.HELM cho nhiệm vụ lớn, nhiều bước.</x:v>
      </x:c>
      <x:c r="J83" s="22" t="str">
        <x:v>Lệnh &amp; trải nghiệm gọi</x:v>
      </x:c>
      <x:c r="K83" s="22" t="str">
        <x:v>Lệnh slash của plugin Claude</x:v>
      </x:c>
      <x:c r="L83" s="22" t="str">
        <x:v>Không phát hiện cặp tương ứng rõ ràng.</x:v>
      </x:c>
      <x:c r="M83" s="22" t="str">
        <x:v>source/8.4.6-C/plugin/.claude/commands/p2p-scope.md</x:v>
      </x:c>
      <x:c r="N83" s="22" t="str">
        <x:v>Giữ nguyên byte trong source/8.4.6-C; bản Codex ghi đường dẫn nguồn và CRC.</x:v>
      </x:c>
      <x:c r="O83" s="22" t="str">
        <x:v>Skill gọi rõ ràng</x:v>
      </x:c>
      <x:c r="P83" s="22" t="str">
        <x:v>.agents/skills/p2p-scope/SKILL.md</x:v>
      </x:c>
      <x:c r="Q83" s="22" t="str">
        <x:v>KEEP_SOURCE + CONVERT_TO_SKILL</x:v>
      </x:c>
      <x:c r="R83" s="22" t="str">
        <x:v>Trung bình · slash command đổi thành $skill</x:v>
      </x:c>
      <x:c r="S83" s="22" t="str">
        <x:v>Gọi rõ bằng $tên-skill; ChatGPT Work dùng @tên-skill</x:v>
      </x:c>
      <x:c r="T83" s="22" t="str">
        <x:v>3 · Lệnh &amp; prompt workflow</x:v>
      </x:c>
      <x:c r="U83" s="22" t="str">
        <x:v>P1 · Cao</x:v>
      </x:c>
      <x:c r="V83" s="22" t="str">
        <x:v>Đã chuyển và kiểm tra cấu trúc</x:v>
      </x:c>
      <x:c r="W83" s="22" t="str">
        <x:v>SKILL.md hợp lệ; gọi $skill đúng; trigger tự động không quá rộng; 3 ca đơn giản/trung bình/đối kháng đạt parity.</x:v>
      </x:c>
      <x:c r="X83" s="22" t="str">
        <x:v>Không thấy rủi ro riêng ngoài yêu cầu parity và truy vết nguồn. Đích đề xuất ban đầu: skills/p2p-scope/SKILL.md. Đích thực tế trong gói: .agents/skills/p2p-scope/SKILL.md. Bằng chứng: TARGET_PRESENT; SKILL_VALIDATOR_PASS.</x:v>
      </x:c>
      <x:c r="Y83" s="22" t="str">
        <x:v>https://learn.chatgpt.com/docs/build-skills</x:v>
      </x:c>
    </x:row>
    <x:row r="84" ht="68" customHeight="1">
      <x:c r="A84" s="23" t="n">
        <x:v>80</x:v>
      </x:c>
      <x:c r="B84" s="22" t="str">
        <x:v>8.4.6-C/plugin/.claude/commands/p2p-teacher.md</x:v>
      </x:c>
      <x:c r="C84" s="22" t="str">
        <x:v>p2p-teacher.md</x:v>
      </x:c>
      <x:c r="D84" s="22" t="str">
        <x:v>08 · Plugin: 13 command</x:v>
      </x:c>
      <x:c r="E84" s="23" t="str">
        <x:v>.md</x:v>
      </x:c>
      <x:c r="F84" s="24" t="n">
        <x:v>8472</x:v>
      </x:c>
      <x:c r="G84" s="23" t="str">
        <x:v>D39C9570</x:v>
      </x:c>
      <x:c r="H84" s="22" t="str">
        <x:v>description: /p2p-teacher — interactive teaching mode for P2P system. Adaptive 5-level curriculum + Q&amp;A.; scope: /p2p-teacher — interactive teaching mode for P2P system. Adaptive 5-level curriculum + Q&amp;A.; version: 8.4.6-C; Tiêu đề: /p2p-teacher — Интерактивный Обучающий Режим / Использование</x:v>
      </x:c>
      <x:c r="I84" s="22" t="str">
        <x:v>Lệnh mở chế độ học tương tác P2P 5 cấp độ.</x:v>
      </x:c>
      <x:c r="J84" s="22" t="str">
        <x:v>Lệnh &amp; trải nghiệm gọi</x:v>
      </x:c>
      <x:c r="K84" s="22" t="str">
        <x:v>Lệnh slash của plugin Claude</x:v>
      </x:c>
      <x:c r="L84" s="22" t="str">
        <x:v>Không phát hiện cặp tương ứng rõ ràng.</x:v>
      </x:c>
      <x:c r="M84" s="22" t="str">
        <x:v>source/8.4.6-C/plugin/.claude/commands/p2p-teacher.md</x:v>
      </x:c>
      <x:c r="N84" s="22" t="str">
        <x:v>Giữ nguyên byte trong source/8.4.6-C; bản Codex ghi đường dẫn nguồn và CRC.</x:v>
      </x:c>
      <x:c r="O84" s="22" t="str">
        <x:v>Skill gọi rõ ràng</x:v>
      </x:c>
      <x:c r="P84" s="22" t="str">
        <x:v>.agents/skills/p2p-teacher/SKILL.md</x:v>
      </x:c>
      <x:c r="Q84" s="22" t="str">
        <x:v>KEEP_SOURCE + CONVERT_TO_SKILL</x:v>
      </x:c>
      <x:c r="R84" s="22" t="str">
        <x:v>Trung bình · slash command đổi thành $skill</x:v>
      </x:c>
      <x:c r="S84" s="22" t="str">
        <x:v>Gọi rõ bằng $tên-skill; ChatGPT Work dùng @tên-skill</x:v>
      </x:c>
      <x:c r="T84" s="22" t="str">
        <x:v>3 · Lệnh &amp; prompt workflow</x:v>
      </x:c>
      <x:c r="U84" s="22" t="str">
        <x:v>P1 · Cao</x:v>
      </x:c>
      <x:c r="V84" s="22" t="str">
        <x:v>Đã chuyển và kiểm tra cấu trúc</x:v>
      </x:c>
      <x:c r="W84" s="22" t="str">
        <x:v>SKILL.md hợp lệ; gọi $skill đúng; trigger tự động không quá rộng; 3 ca đơn giản/trung bình/đối kháng đạt parity.</x:v>
      </x:c>
      <x:c r="X84" s="22" t="str">
        <x:v>Không thấy rủi ro riêng ngoài yêu cầu parity và truy vết nguồn. Đích đề xuất ban đầu: skills/p2p-teacher/SKILL.md. Đích thực tế trong gói: .agents/skills/p2p-teacher/SKILL.md. Bằng chứng: TARGET_PRESENT; SKILL_VALIDATOR_PASS.</x:v>
      </x:c>
      <x:c r="Y84" s="22" t="str">
        <x:v>https://learn.chatgpt.com/docs/build-skills</x:v>
      </x:c>
    </x:row>
    <x:row r="85" ht="68" customHeight="1">
      <x:c r="A85" s="23" t="n">
        <x:v>81</x:v>
      </x:c>
      <x:c r="B85" s="22" t="str">
        <x:v>8.4.6-C/plugin/.claude/commands/p2p.md</x:v>
      </x:c>
      <x:c r="C85" s="22" t="str">
        <x:v>p2p.md</x:v>
      </x:c>
      <x:c r="D85" s="22" t="str">
        <x:v>08 · Plugin: 13 command</x:v>
      </x:c>
      <x:c r="E85" s="23" t="str">
        <x:v>.md</x:v>
      </x:c>
      <x:c r="F85" s="24" t="n">
        <x:v>4519</x:v>
      </x:c>
      <x:c r="G85" s="23" t="str">
        <x:v>EDE86773</x:v>
      </x:c>
      <x:c r="H85" s="22" t="str">
        <x:v>description: /p2p — main entry point. Dispatcher: task in args → SIR route; empty/start/menu → menu.; scope: /p2p — main entry point. Dispatcher: task in args → SIR Scanner → Tier → Contract Builder; empty/start/menu → full menu.; version: 8.4.6-C; Tiêu đề: /p2p — Главная Команда (диспетчер) / ШАГ 0 — РАЗВЕТВЛЕНИЕ (выполняется первым, до всего остального)</x:v>
      </x:c>
      <x:c r="I85" s="22" t="str">
        <x:v>Lệnh vào chính: phân tuyến yêu cầu qua SIR hoặc mở menu P2P.</x:v>
      </x:c>
      <x:c r="J85" s="22" t="str">
        <x:v>Lệnh &amp; trải nghiệm gọi</x:v>
      </x:c>
      <x:c r="K85" s="22" t="str">
        <x:v>Lệnh slash của plugin Claude</x:v>
      </x:c>
      <x:c r="L85" s="22" t="str">
        <x:v>Không phát hiện cặp tương ứng rõ ràng.</x:v>
      </x:c>
      <x:c r="M85" s="22" t="str">
        <x:v>source/8.4.6-C/plugin/.claude/commands/p2p.md</x:v>
      </x:c>
      <x:c r="N85" s="22" t="str">
        <x:v>Giữ nguyên byte trong source/8.4.6-C; bản Codex ghi đường dẫn nguồn và CRC.</x:v>
      </x:c>
      <x:c r="O85" s="22" t="str">
        <x:v>Skill gọi rõ ràng</x:v>
      </x:c>
      <x:c r="P85" s="22" t="str">
        <x:v>.agents/skills/p2p/SKILL.md</x:v>
      </x:c>
      <x:c r="Q85" s="22" t="str">
        <x:v>KEEP_SOURCE + CONVERT_TO_SKILL</x:v>
      </x:c>
      <x:c r="R85" s="22" t="str">
        <x:v>Trung bình · slash command đổi thành $skill</x:v>
      </x:c>
      <x:c r="S85" s="22" t="str">
        <x:v>Gọi rõ bằng $tên-skill; ChatGPT Work dùng @tên-skill</x:v>
      </x:c>
      <x:c r="T85" s="22" t="str">
        <x:v>3 · Lệnh &amp; prompt workflow</x:v>
      </x:c>
      <x:c r="U85" s="22" t="str">
        <x:v>P1 · Cao</x:v>
      </x:c>
      <x:c r="V85" s="22" t="str">
        <x:v>Đã chuyển và kiểm tra cấu trúc</x:v>
      </x:c>
      <x:c r="W85" s="22" t="str">
        <x:v>SKILL.md hợp lệ; gọi $skill đúng; trigger tự động không quá rộng; 3 ca đơn giản/trung bình/đối kháng đạt parity.</x:v>
      </x:c>
      <x:c r="X85" s="22" t="str">
        <x:v>Không thấy rủi ro riêng ngoài yêu cầu parity và truy vết nguồn. Đích đề xuất ban đầu: skills/p2p/SKILL.md. Đích thực tế trong gói: .agents/skills/p2p/SKILL.md. Bằng chứng: TARGET_PRESENT; SKILL_VALIDATOR_PASS.</x:v>
      </x:c>
      <x:c r="Y85" s="22" t="str">
        <x:v>https://learn.chatgpt.com/docs/build-skills</x:v>
      </x:c>
    </x:row>
    <x:row r="86" ht="68" customHeight="1">
      <x:c r="A86" s="23" t="n">
        <x:v>82</x:v>
      </x:c>
      <x:c r="B86" s="22" t="str">
        <x:v>8.4.6-C/plugin/.claude/settings.json</x:v>
      </x:c>
      <x:c r="C86" s="22" t="str">
        <x:v>settings.json</x:v>
      </x:c>
      <x:c r="D86" s="22" t="str">
        <x:v>06 · Plugin: nền tảng</x:v>
      </x:c>
      <x:c r="E86" s="23" t="str">
        <x:v>.json</x:v>
      </x:c>
      <x:c r="F86" s="24" t="n">
        <x:v>1662</x:v>
      </x:c>
      <x:c r="G86" s="23" t="str">
        <x:v>D585F5E0</x:v>
      </x:c>
      <x:c r="H86" s="22" t="str"/>
      <x:c r="I86" s="22" t="str">
        <x:v>Quyền, hook tùy chọn và biến môi trường của plugin Claude.</x:v>
      </x:c>
      <x:c r="J86" s="22" t="str">
        <x:v>Nền tảng &amp; đóng gói Codex</x:v>
      </x:c>
      <x:c r="K86" s="22" t="str">
        <x:v>Manifest, quy tắc và cấu hình Claude</x:v>
      </x:c>
      <x:c r="L86" s="22" t="str">
        <x:v>Không phát hiện cặp tương ứng rõ ràng.</x:v>
      </x:c>
      <x:c r="M86" s="22" t="str">
        <x:v>source/8.4.6-C/plugin/.claude/settings.json</x:v>
      </x:c>
      <x:c r="N86" s="22" t="str">
        <x:v>Giữ nguyên byte trong source/8.4.6-C; bản Codex ghi đường dẫn nguồn và CRC. Mọi port được tạo ở file mới, không sửa mã nguồn snapshot.</x:v>
      </x:c>
      <x:c r="O86" s="22" t="str">
        <x:v>Cấu hình/quy tắc/hook</x:v>
      </x:c>
      <x:c r="P86" s="22" t="str">
        <x:v>.codex/config.toml</x:v>
      </x:c>
      <x:c r="Q86" s="22" t="str">
        <x:v>KEEP_SOURCE + REWRITE_NATIVE + SECURITY_REVIEW</x:v>
      </x:c>
      <x:c r="R86" s="22" t="str">
        <x:v>Trung bình · quyền/hook khác</x:v>
      </x:c>
      <x:c r="S86" s="22" t="str">
        <x:v>Codex đọc config dự án sau khi dự án được tin cậy</x:v>
      </x:c>
      <x:c r="T86" s="22" t="str">
        <x:v>1 · Nền tảng &amp; lõi</x:v>
      </x:c>
      <x:c r="U86" s="22" t="str">
        <x:v>P0 · Bắt buộc</x:v>
      </x:c>
      <x:c r="V86" s="22" t="str">
        <x:v>Đã chuyển và kiểm tra cấu trúc</x:v>
      </x:c>
      <x:c r="W86" s="22" t="str">
        <x:v>config.toml parse được; quyền tối thiểu; hook tắt mặc định; trust gate và khôi phục khi lỗi hoạt động.</x:v>
      </x:c>
      <x:c r="X86" s="22" t="str">
        <x:v>Biến P2P_VERSION trong file là 8C.1, không khớp gói 8.4.6-C; phải xử lý như lỗi dữ liệu nguồn, không âm thầm sửa. Đích đề xuất ban đầu: .codex/config.toml + hooks/ (opt-in). Đích thực tế trong gói: .codex/config.toml. Bằng chứng: NATIVE_TARGET_PRESENT; STRUCTURAL_CHECK_PASS.</x:v>
      </x:c>
      <x:c r="Y86" s="22" t="str">
        <x:v>https://learn.chatgpt.com/docs/config-file/config-advanced | https://learn.chatgpt.com/docs/hooks</x:v>
      </x:c>
    </x:row>
    <x:row r="87" ht="68" customHeight="1">
      <x:c r="A87" s="23" t="n">
        <x:v>83</x:v>
      </x:c>
      <x:c r="B87" s="22" t="str">
        <x:v>8.4.6-C/plugin/.claude/skills/bb4pda/SKILL.md</x:v>
      </x:c>
      <x:c r="C87" s="22" t="str">
        <x:v>SKILL.md</x:v>
      </x:c>
      <x:c r="D87" s="22" t="str">
        <x:v>10 · Plugin: skill phụ</x:v>
      </x:c>
      <x:c r="E87" s="23" t="str">
        <x:v>.md</x:v>
      </x:c>
      <x:c r="F87" s="24" t="n">
        <x:v>8618</x:v>
      </x:c>
      <x:c r="G87" s="23" t="str">
        <x:v>3D2ADB81</x:v>
      </x:c>
      <x:c r="H87" s="22" t="str">
        <x:v>name: bb4pda; description: &gt;-; version: 1.0; Tiêu đề: BB4PDA — авторазметка постов 4PDA в BB-коде / Два режима</x:v>
      </x:c>
      <x:c r="I87" s="22" t="str">
        <x:v>Skill tự động định dạng bài đăng 4PDA bằng BBCode.</x:v>
      </x:c>
      <x:c r="J87" s="22" t="str">
        <x:v>Skill phụ: 4PDA</x:v>
      </x:c>
      <x:c r="K87" s="22" t="str">
        <x:v>Skill độc lập/tham chiếu bổ sung</x:v>
      </x:c>
      <x:c r="L87" s="22" t="str">
        <x:v>Không phát hiện cặp tương ứng rõ ràng.</x:v>
      </x:c>
      <x:c r="M87" s="22" t="str">
        <x:v>source/8.4.6-C/plugin/.claude/skills/bb4pda/SKILL.md</x:v>
      </x:c>
      <x:c r="N87" s="22" t="str">
        <x:v>Giữ nguyên byte trong source/8.4.6-C; bản Codex ghi đường dẫn nguồn và CRC.</x:v>
      </x:c>
      <x:c r="O87" s="22" t="str">
        <x:v>Skill độc lập</x:v>
      </x:c>
      <x:c r="P87" s="22" t="str">
        <x:v>.agents/skills/bb4pda/SKILL.md</x:v>
      </x:c>
      <x:c r="Q87" s="22" t="str">
        <x:v>KEEP_SOURCE + TRANSLATE_SKILL</x:v>
      </x:c>
      <x:c r="R87" s="22" t="str">
        <x:v>Cao · chuẩn skill gần tương đương</x:v>
      </x:c>
      <x:c r="S87" s="22" t="str">
        <x:v>Gọi rõ bằng $tên-skill; ChatGPT Work dùng @tên-skill</x:v>
      </x:c>
      <x:c r="T87" s="22" t="str">
        <x:v>7 · Skill phụ &amp; PXPIPE</x:v>
      </x:c>
      <x:c r="U87" s="22" t="str">
        <x:v>P3 · Tùy chọn</x:v>
      </x:c>
      <x:c r="V87" s="22" t="str">
        <x:v>Đã chuyển và kiểm tra cấu trúc</x:v>
      </x:c>
      <x:c r="W87" s="22" t="str">
        <x:v>SKILL.md hợp lệ; gọi $skill đúng; trigger tự động không quá rộng; 3 ca đơn giản/trung bình/đối kháng đạt parity.</x:v>
      </x:c>
      <x:c r="X87" s="22" t="str">
        <x:v>Không thấy rủi ro riêng ngoài yêu cầu parity và truy vết nguồn. Đích đề xuất ban đầu: skills/bb4pda/SKILL.md. Đích thực tế trong gói: .agents/skills/bb4pda/SKILL.md. Bằng chứng: TARGET_PRESENT; SKILL_VALIDATOR_PASS.</x:v>
      </x:c>
      <x:c r="Y87" s="22" t="str">
        <x:v>https://learn.chatgpt.com/docs/build-skills</x:v>
      </x:c>
    </x:row>
    <x:row r="88" ht="68" customHeight="1">
      <x:c r="A88" s="23" t="n">
        <x:v>84</x:v>
      </x:c>
      <x:c r="B88" s="22" t="str">
        <x:v>8.4.6-C/plugin/.claude/skills/bb4pda/reference/bb_4pda_db.md</x:v>
      </x:c>
      <x:c r="C88" s="22" t="str">
        <x:v>bb_4pda_db.md</x:v>
      </x:c>
      <x:c r="D88" s="22" t="str">
        <x:v>10 · Plugin: skill phụ</x:v>
      </x:c>
      <x:c r="E88" s="23" t="str">
        <x:v>.md</x:v>
      </x:c>
      <x:c r="F88" s="24" t="n">
        <x:v>20420</x:v>
      </x:c>
      <x:c r="G88" s="23" t="str">
        <x:v>3EFCE732</x:v>
      </x:c>
      <x:c r="H88" s="22" t="str">
        <x:v>4pda структурированная база данных всех элементов форматирования, разбитая на логические категории. Данная структура оптимальна для контекстного понимания llm, так как позволяет модели определять взаимосвязи между смыслом текста и необходимым визуальным элементом.</x:v>
      </x:c>
      <x:c r="I88" s="22" t="str">
        <x:v>Cơ sở dữ liệu cấu trúc các phần tử định dạng 4PDA.</x:v>
      </x:c>
      <x:c r="J88" s="22" t="str">
        <x:v>Skill phụ: 4PDA</x:v>
      </x:c>
      <x:c r="K88" s="22" t="str">
        <x:v>Skill độc lập/tham chiếu bổ sung</x:v>
      </x:c>
      <x:c r="L88" s="22" t="str">
        <x:v>Không phát hiện cặp tương ứng rõ ràng.</x:v>
      </x:c>
      <x:c r="M88" s="22" t="str">
        <x:v>source/8.4.6-C/plugin/.claude/skills/bb4pda/reference/bb_4pda_db.md</x:v>
      </x:c>
      <x:c r="N88" s="22" t="str">
        <x:v>Giữ nguyên byte trong source/8.4.6-C; bản Codex ghi đường dẫn nguồn và CRC.</x:v>
      </x:c>
      <x:c r="O88" s="22" t="str">
        <x:v>Reference on-demand</x:v>
      </x:c>
      <x:c r="P88" s="22" t="str">
        <x:v>.agents/skills/bb4pda/references/bb_4pda_db.md</x:v>
      </x:c>
      <x:c r="Q88" s="22" t="str">
        <x:v>KEEP_SOURCE + KEEP_REFERENCE</x:v>
      </x:c>
      <x:c r="R88" s="22" t="str">
        <x:v>Cao · nạp theo nhu cầu</x:v>
      </x:c>
      <x:c r="S88" s="22" t="str">
        <x:v>Skill Codex chỉ đọc reference này khi nhiệm vụ cần; không preload toàn bộ</x:v>
      </x:c>
      <x:c r="T88" s="22" t="str">
        <x:v>7 · Skill phụ &amp; PXPIPE</x:v>
      </x:c>
      <x:c r="U88" s="22" t="str">
        <x:v>P3 · Tùy chọn</x:v>
      </x:c>
      <x:c r="V88" s="22" t="str">
        <x:v>Đã giữ reference; nạp theo nhu cầu</x:v>
      </x:c>
      <x:c r="W88" s="22" t="str">
        <x:v>CRC nguồn khớp; nội dung không mất; reference chỉ nạp khi cần; 3 ca parity và một ca không kích hoạt ngoài ý muốn.</x:v>
      </x:c>
      <x:c r="X88" s="22" t="str">
        <x:v>Không thấy rủi ro riêng ngoài yêu cầu parity và truy vết nguồn. Đích đề xuất ban đầu: skills/bb4pda/references/bb_4pda_db.md. Đích thực tế trong gói: .agents/skills/bb4pda/references/bb_4pda_db.md. Bằng chứng: SOURCE_HASH_VERIFIED; TARGET_PRESENT; ON_DEMAND_LOAD.</x:v>
      </x:c>
      <x:c r="Y88" s="22" t="str">
        <x:v>https://learn.chatgpt.com/docs/build-skills</x:v>
      </x:c>
    </x:row>
    <x:row r="89" ht="68" customHeight="1">
      <x:c r="A89" s="23" t="n">
        <x:v>85</x:v>
      </x:c>
      <x:c r="B89" s="22" t="str">
        <x:v>8.4.6-C/plugin/.claude/skills/bb4pda/reference/common_codes.md</x:v>
      </x:c>
      <x:c r="C89" s="22" t="str">
        <x:v>common_codes.md</x:v>
      </x:c>
      <x:c r="D89" s="22" t="str">
        <x:v>10 · Plugin: skill phụ</x:v>
      </x:c>
      <x:c r="E89" s="23" t="str">
        <x:v>.md</x:v>
      </x:c>
      <x:c r="F89" s="24" t="n">
        <x:v>4597</x:v>
      </x:c>
      <x:c r="G89" s="23" t="str">
        <x:v>58C279C0</x:v>
      </x:c>
      <x:c r="H89" s="22" t="str">
        <x:v>Наиболее распространенные коды:</x:v>
      </x:c>
      <x:c r="I89" s="22" t="str">
        <x:v>Danh sách BBCode 4PDA thông dụng.</x:v>
      </x:c>
      <x:c r="J89" s="22" t="str">
        <x:v>Skill phụ: 4PDA</x:v>
      </x:c>
      <x:c r="K89" s="22" t="str">
        <x:v>Skill độc lập/tham chiếu bổ sung</x:v>
      </x:c>
      <x:c r="L89" s="22" t="str">
        <x:v>Không phát hiện cặp tương ứng rõ ràng.</x:v>
      </x:c>
      <x:c r="M89" s="22" t="str">
        <x:v>source/8.4.6-C/plugin/.claude/skills/bb4pda/reference/common_codes.md</x:v>
      </x:c>
      <x:c r="N89" s="22" t="str">
        <x:v>Giữ nguyên byte trong source/8.4.6-C; bản Codex ghi đường dẫn nguồn và CRC.</x:v>
      </x:c>
      <x:c r="O89" s="22" t="str">
        <x:v>Reference on-demand</x:v>
      </x:c>
      <x:c r="P89" s="22" t="str">
        <x:v>.agents/skills/bb4pda/references/common_codes.md</x:v>
      </x:c>
      <x:c r="Q89" s="22" t="str">
        <x:v>KEEP_SOURCE + KEEP_REFERENCE</x:v>
      </x:c>
      <x:c r="R89" s="22" t="str">
        <x:v>Cao · nạp theo nhu cầu</x:v>
      </x:c>
      <x:c r="S89" s="22" t="str">
        <x:v>Skill Codex chỉ đọc reference này khi nhiệm vụ cần; không preload toàn bộ</x:v>
      </x:c>
      <x:c r="T89" s="22" t="str">
        <x:v>7 · Skill phụ &amp; PXPIPE</x:v>
      </x:c>
      <x:c r="U89" s="22" t="str">
        <x:v>P3 · Tùy chọn</x:v>
      </x:c>
      <x:c r="V89" s="22" t="str">
        <x:v>Đã giữ reference; nạp theo nhu cầu</x:v>
      </x:c>
      <x:c r="W89" s="22" t="str">
        <x:v>CRC nguồn khớp; nội dung không mất; reference chỉ nạp khi cần; 3 ca parity và một ca không kích hoạt ngoài ý muốn.</x:v>
      </x:c>
      <x:c r="X89" s="22" t="str">
        <x:v>Không thấy rủi ro riêng ngoài yêu cầu parity và truy vết nguồn. Đích đề xuất ban đầu: skills/bb4pda/references/common_codes.md. Đích thực tế trong gói: .agents/skills/bb4pda/references/common_codes.md. Bằng chứng: SOURCE_HASH_VERIFIED; TARGET_PRESENT; ON_DEMAND_LOAD.</x:v>
      </x:c>
      <x:c r="Y89" s="22" t="str">
        <x:v>https://learn.chatgpt.com/docs/build-skills</x:v>
      </x:c>
    </x:row>
    <x:row r="90" ht="68" customHeight="1">
      <x:c r="A90" s="23" t="n">
        <x:v>86</x:v>
      </x:c>
      <x:c r="B90" s="22" t="str">
        <x:v>8.4.6-C/plugin/.claude/skills/bb4pda/reference/edge_cases.md</x:v>
      </x:c>
      <x:c r="C90" s="22" t="str">
        <x:v>edge_cases.md</x:v>
      </x:c>
      <x:c r="D90" s="22" t="str">
        <x:v>10 · Plugin: skill phụ</x:v>
      </x:c>
      <x:c r="E90" s="23" t="str">
        <x:v>.md</x:v>
      </x:c>
      <x:c r="F90" s="24" t="n">
        <x:v>3061</x:v>
      </x:c>
      <x:c r="G90" s="23" t="str">
        <x:v>A1FB6934</x:v>
      </x:c>
      <x:c r="H90" s="22" t="str">
        <x:v>Tiêu đề: Edge-cases 4PDA: заголовки спойлеров, кавычки, вложенные теги / ⛔ Главное правило (важное)</x:v>
      </x:c>
      <x:c r="I90" s="22" t="str">
        <x:v>Các trường hợp BBCode khó: lồng thẻ, tiêu đề spoiler, dấu ngoặc và quy tắc tránh lỗi.</x:v>
      </x:c>
      <x:c r="J90" s="22" t="str">
        <x:v>Skill phụ: 4PDA</x:v>
      </x:c>
      <x:c r="K90" s="22" t="str">
        <x:v>Skill độc lập/tham chiếu bổ sung</x:v>
      </x:c>
      <x:c r="L90" s="22" t="str">
        <x:v>Không phát hiện cặp tương ứng rõ ràng.</x:v>
      </x:c>
      <x:c r="M90" s="22" t="str">
        <x:v>source/8.4.6-C/plugin/.claude/skills/bb4pda/reference/edge_cases.md</x:v>
      </x:c>
      <x:c r="N90" s="22" t="str">
        <x:v>Giữ nguyên byte trong source/8.4.6-C; bản Codex ghi đường dẫn nguồn và CRC.</x:v>
      </x:c>
      <x:c r="O90" s="22" t="str">
        <x:v>Reference on-demand</x:v>
      </x:c>
      <x:c r="P90" s="22" t="str">
        <x:v>.agents/skills/bb4pda/references/edge_cases.md</x:v>
      </x:c>
      <x:c r="Q90" s="22" t="str">
        <x:v>KEEP_SOURCE + KEEP_REFERENCE</x:v>
      </x:c>
      <x:c r="R90" s="22" t="str">
        <x:v>Cao · nạp theo nhu cầu</x:v>
      </x:c>
      <x:c r="S90" s="22" t="str">
        <x:v>Skill Codex chỉ đọc reference này khi nhiệm vụ cần; không preload toàn bộ</x:v>
      </x:c>
      <x:c r="T90" s="22" t="str">
        <x:v>7 · Skill phụ &amp; PXPIPE</x:v>
      </x:c>
      <x:c r="U90" s="22" t="str">
        <x:v>P3 · Tùy chọn</x:v>
      </x:c>
      <x:c r="V90" s="22" t="str">
        <x:v>Đã giữ reference; nạp theo nhu cầu</x:v>
      </x:c>
      <x:c r="W90" s="22" t="str">
        <x:v>CRC nguồn khớp; nội dung không mất; reference chỉ nạp khi cần; 3 ca parity và một ca không kích hoạt ngoài ý muốn.</x:v>
      </x:c>
      <x:c r="X90" s="22" t="str">
        <x:v>Không thấy rủi ro riêng ngoài yêu cầu parity và truy vết nguồn. Đích đề xuất ban đầu: skills/bb4pda/references/edge_cases.md. Đích thực tế trong gói: .agents/skills/bb4pda/references/edge_cases.md. Bằng chứng: SOURCE_HASH_VERIFIED; TARGET_PRESENT; ON_DEMAND_LOAD.</x:v>
      </x:c>
      <x:c r="Y90" s="22" t="str">
        <x:v>https://learn.chatgpt.com/docs/build-skills</x:v>
      </x:c>
    </x:row>
    <x:row r="91" ht="68" customHeight="1">
      <x:c r="A91" s="23" t="n">
        <x:v>87</x:v>
      </x:c>
      <x:c r="B91" s="22" t="str">
        <x:v>8.4.6-C/plugin/.claude/skills/bb4pda/reference/images_4pda.md</x:v>
      </x:c>
      <x:c r="C91" s="22" t="str">
        <x:v>images_4pda.md</x:v>
      </x:c>
      <x:c r="D91" s="22" t="str">
        <x:v>10 · Plugin: skill phụ</x:v>
      </x:c>
      <x:c r="E91" s="23" t="str">
        <x:v>.md</x:v>
      </x:c>
      <x:c r="F91" s="24" t="n">
        <x:v>11081</x:v>
      </x:c>
      <x:c r="G91" s="23" t="str">
        <x:v>50C77DF9</x:v>
      </x:c>
      <x:c r="H91" s="22" t="str">
        <x:v>Оформительные картинки</x:v>
      </x:c>
      <x:c r="I91" s="22" t="str">
        <x:v>Kho tham chiếu hình ảnh trang trí dùng trong bài 4PDA.</x:v>
      </x:c>
      <x:c r="J91" s="22" t="str">
        <x:v>Skill phụ: 4PDA</x:v>
      </x:c>
      <x:c r="K91" s="22" t="str">
        <x:v>Skill độc lập/tham chiếu bổ sung</x:v>
      </x:c>
      <x:c r="L91" s="22" t="str">
        <x:v>Không phát hiện cặp tương ứng rõ ràng.</x:v>
      </x:c>
      <x:c r="M91" s="22" t="str">
        <x:v>source/8.4.6-C/plugin/.claude/skills/bb4pda/reference/images_4pda.md</x:v>
      </x:c>
      <x:c r="N91" s="22" t="str">
        <x:v>Giữ nguyên byte trong source/8.4.6-C; bản Codex ghi đường dẫn nguồn và CRC.</x:v>
      </x:c>
      <x:c r="O91" s="22" t="str">
        <x:v>Reference on-demand</x:v>
      </x:c>
      <x:c r="P91" s="22" t="str">
        <x:v>.agents/skills/bb4pda/references/images_4pda.md</x:v>
      </x:c>
      <x:c r="Q91" s="22" t="str">
        <x:v>KEEP_SOURCE + KEEP_REFERENCE</x:v>
      </x:c>
      <x:c r="R91" s="22" t="str">
        <x:v>Cao · nạp theo nhu cầu</x:v>
      </x:c>
      <x:c r="S91" s="22" t="str">
        <x:v>Skill Codex chỉ đọc reference này khi nhiệm vụ cần; không preload toàn bộ</x:v>
      </x:c>
      <x:c r="T91" s="22" t="str">
        <x:v>7 · Skill phụ &amp; PXPIPE</x:v>
      </x:c>
      <x:c r="U91" s="22" t="str">
        <x:v>P3 · Tùy chọn</x:v>
      </x:c>
      <x:c r="V91" s="22" t="str">
        <x:v>Đã giữ reference; nạp theo nhu cầu</x:v>
      </x:c>
      <x:c r="W91" s="22" t="str">
        <x:v>CRC nguồn khớp; nội dung không mất; reference chỉ nạp khi cần; 3 ca parity và một ca không kích hoạt ngoài ý muốn.</x:v>
      </x:c>
      <x:c r="X91" s="22" t="str">
        <x:v>Không thấy rủi ro riêng ngoài yêu cầu parity và truy vết nguồn. Đích đề xuất ban đầu: skills/bb4pda/references/images_4pda.md. Đích thực tế trong gói: .agents/skills/bb4pda/references/images_4pda.md. Bằng chứng: SOURCE_HASH_VERIFIED; TARGET_PRESENT; ON_DEMAND_LOAD.</x:v>
      </x:c>
      <x:c r="Y91" s="22" t="str">
        <x:v>https://learn.chatgpt.com/docs/build-skills</x:v>
      </x:c>
    </x:row>
    <x:row r="92" ht="68" customHeight="1">
      <x:c r="A92" s="23" t="n">
        <x:v>88</x:v>
      </x:c>
      <x:c r="B92" s="22" t="str">
        <x:v>8.4.6-C/plugin/.claude/skills/bb4pda/reference/symbols_fontello.md</x:v>
      </x:c>
      <x:c r="C92" s="22" t="str">
        <x:v>symbols_fontello.md</x:v>
      </x:c>
      <x:c r="D92" s="22" t="str">
        <x:v>10 · Plugin: skill phụ</x:v>
      </x:c>
      <x:c r="E92" s="23" t="str">
        <x:v>.md</x:v>
      </x:c>
      <x:c r="F92" s="24" t="n">
        <x:v>4135</x:v>
      </x:c>
      <x:c r="G92" s="23" t="str">
        <x:v>ECE6D452</x:v>
      </x:c>
      <x:c r="H92" s="22" t="str">
        <x:v>Оформительные символы:</x:v>
      </x:c>
      <x:c r="I92" s="22" t="str">
        <x:v>Kho ký hiệu Fontello/trang trí cho 4PDA.</x:v>
      </x:c>
      <x:c r="J92" s="22" t="str">
        <x:v>Skill phụ: 4PDA</x:v>
      </x:c>
      <x:c r="K92" s="22" t="str">
        <x:v>Skill độc lập/tham chiếu bổ sung</x:v>
      </x:c>
      <x:c r="L92" s="22" t="str">
        <x:v>Không phát hiện cặp tương ứng rõ ràng.</x:v>
      </x:c>
      <x:c r="M92" s="22" t="str">
        <x:v>source/8.4.6-C/plugin/.claude/skills/bb4pda/reference/symbols_fontello.md</x:v>
      </x:c>
      <x:c r="N92" s="22" t="str">
        <x:v>Giữ nguyên byte trong source/8.4.6-C; bản Codex ghi đường dẫn nguồn và CRC.</x:v>
      </x:c>
      <x:c r="O92" s="22" t="str">
        <x:v>Reference on-demand</x:v>
      </x:c>
      <x:c r="P92" s="22" t="str">
        <x:v>.agents/skills/bb4pda/references/symbols_fontello.md</x:v>
      </x:c>
      <x:c r="Q92" s="22" t="str">
        <x:v>KEEP_SOURCE + KEEP_REFERENCE</x:v>
      </x:c>
      <x:c r="R92" s="22" t="str">
        <x:v>Cao · nạp theo nhu cầu</x:v>
      </x:c>
      <x:c r="S92" s="22" t="str">
        <x:v>Skill Codex chỉ đọc reference này khi nhiệm vụ cần; không preload toàn bộ</x:v>
      </x:c>
      <x:c r="T92" s="22" t="str">
        <x:v>7 · Skill phụ &amp; PXPIPE</x:v>
      </x:c>
      <x:c r="U92" s="22" t="str">
        <x:v>P3 · Tùy chọn</x:v>
      </x:c>
      <x:c r="V92" s="22" t="str">
        <x:v>Đã giữ reference; nạp theo nhu cầu</x:v>
      </x:c>
      <x:c r="W92" s="22" t="str">
        <x:v>CRC nguồn khớp; nội dung không mất; reference chỉ nạp khi cần; 3 ca parity và một ca không kích hoạt ngoài ý muốn.</x:v>
      </x:c>
      <x:c r="X92" s="22" t="str">
        <x:v>Không thấy rủi ro riêng ngoài yêu cầu parity và truy vết nguồn. Đích đề xuất ban đầu: skills/bb4pda/references/symbols_fontello.md. Đích thực tế trong gói: .agents/skills/bb4pda/references/symbols_fontello.md. Bằng chứng: SOURCE_HASH_VERIFIED; TARGET_PRESENT; ON_DEMAND_LOAD.</x:v>
      </x:c>
      <x:c r="Y92" s="22" t="str">
        <x:v>https://learn.chatgpt.com/docs/build-skills</x:v>
      </x:c>
    </x:row>
    <x:row r="93" ht="68" customHeight="1">
      <x:c r="A93" s="23" t="n">
        <x:v>89</x:v>
      </x:c>
      <x:c r="B93" s="22" t="str">
        <x:v>8.4.6-C/plugin/.claude/skills/notebook-pack/SKILL.md</x:v>
      </x:c>
      <x:c r="C93" s="22" t="str">
        <x:v>SKILL.md</x:v>
      </x:c>
      <x:c r="D93" s="22" t="str">
        <x:v>10 · Plugin: skill phụ</x:v>
      </x:c>
      <x:c r="E93" s="23" t="str">
        <x:v>.md</x:v>
      </x:c>
      <x:c r="F93" s="24" t="n">
        <x:v>4484</x:v>
      </x:c>
      <x:c r="G93" s="23" t="str">
        <x:v>C83C1979</x:v>
      </x:c>
      <x:c r="H93" s="22" t="str">
        <x:v>name: notebook-pack; description: &gt;-; version: 1.0; Tiêu đề: notebook-pack — готовый комплект источников под RAG / Когда применять / НЕ применять</x:v>
      </x:c>
      <x:c r="I93" s="22" t="str">
        <x:v>Skill tạo bộ nguồn/notebook sẵn sàng cho quy trình RAG.</x:v>
      </x:c>
      <x:c r="J93" s="22" t="str">
        <x:v>Skill phụ: RAG toolkit</x:v>
      </x:c>
      <x:c r="K93" s="22" t="str">
        <x:v>Skill độc lập/tham chiếu bổ sung</x:v>
      </x:c>
      <x:c r="L93" s="22" t="str">
        <x:v>Không phát hiện cặp tương ứng rõ ràng.</x:v>
      </x:c>
      <x:c r="M93" s="22" t="str">
        <x:v>source/8.4.6-C/plugin/.claude/skills/notebook-pack/SKILL.md</x:v>
      </x:c>
      <x:c r="N93" s="22" t="str">
        <x:v>Giữ nguyên byte trong source/8.4.6-C; bản Codex ghi đường dẫn nguồn và CRC.</x:v>
      </x:c>
      <x:c r="O93" s="22" t="str">
        <x:v>Skill độc lập</x:v>
      </x:c>
      <x:c r="P93" s="22" t="str">
        <x:v>.agents/skills/notebook-pack/SKILL.md</x:v>
      </x:c>
      <x:c r="Q93" s="22" t="str">
        <x:v>KEEP_SOURCE + TRANSLATE_SKILL</x:v>
      </x:c>
      <x:c r="R93" s="22" t="str">
        <x:v>Cao · chuẩn skill gần tương đương</x:v>
      </x:c>
      <x:c r="S93" s="22" t="str">
        <x:v>Gọi rõ bằng $tên-skill; ChatGPT Work dùng @tên-skill</x:v>
      </x:c>
      <x:c r="T93" s="22" t="str">
        <x:v>7 · Skill phụ &amp; PXPIPE</x:v>
      </x:c>
      <x:c r="U93" s="22" t="str">
        <x:v>P3 · Tùy chọn</x:v>
      </x:c>
      <x:c r="V93" s="22" t="str">
        <x:v>Đã chuyển và kiểm tra cấu trúc</x:v>
      </x:c>
      <x:c r="W93" s="22" t="str">
        <x:v>SKILL.md hợp lệ; gọi $skill đúng; trigger tự động không quá rộng; 3 ca đơn giản/trung bình/đối kháng đạt parity.</x:v>
      </x:c>
      <x:c r="X93" s="22" t="str">
        <x:v>Không thấy rủi ro riêng ngoài yêu cầu parity và truy vết nguồn. Đích đề xuất ban đầu: skills/notebook-pack/SKILL.md. Đích thực tế trong gói: .agents/skills/notebook-pack/SKILL.md. Bằng chứng: TARGET_PRESENT; SKILL_VALIDATOR_PASS.</x:v>
      </x:c>
      <x:c r="Y93" s="22" t="str">
        <x:v>https://learn.chatgpt.com/docs/build-skills</x:v>
      </x:c>
    </x:row>
    <x:row r="94" ht="68" customHeight="1">
      <x:c r="A94" s="23" t="n">
        <x:v>90</x:v>
      </x:c>
      <x:c r="B94" s="22" t="str">
        <x:v>8.4.6-C/plugin/.claude/skills/notebook-pack/reference/rag_metaprompt_standard.md</x:v>
      </x:c>
      <x:c r="C94" s="22" t="str">
        <x:v>rag_metaprompt_standard.md</x:v>
      </x:c>
      <x:c r="D94" s="22" t="str">
        <x:v>10 · Plugin: skill phụ</x:v>
      </x:c>
      <x:c r="E94" s="23" t="str">
        <x:v>.md</x:v>
      </x:c>
      <x:c r="F94" s="24" t="n">
        <x:v>49161</x:v>
      </x:c>
      <x:c r="G94" s="23" t="str">
        <x:v>4B95ED1A</x:v>
      </x:c>
      <x:c r="H94" s="22" t="str">
        <x:v>description: &gt;; scope: rag_optimized_metaprompt_architecture; version: 2.0; Tiêu đề: 📐 RAG METAPROMPT STANDARD v2.0 / Универсальная инструкция по построению больших метапромтов под RAG</x:v>
      </x:c>
      <x:c r="I94" s="22" t="str">
        <x:v>Tiêu chuẩn kiến trúc metaprompt lớn dùng với RAG.</x:v>
      </x:c>
      <x:c r="J94" s="22" t="str">
        <x:v>Skill phụ: RAG toolkit</x:v>
      </x:c>
      <x:c r="K94" s="22" t="str">
        <x:v>Skill độc lập/tham chiếu bổ sung</x:v>
      </x:c>
      <x:c r="L94" s="22" t="str">
        <x:v>Trùng byte với: 8.4.6-C/plugin/.claude/skills/rag-prep/reference/rag_metaprompt_standard.md</x:v>
      </x:c>
      <x:c r="M94" s="22" t="str">
        <x:v>source/8.4.6-C/plugin/.claude/skills/notebook-pack/reference/rag_metaprompt_standard.md</x:v>
      </x:c>
      <x:c r="N94" s="22" t="str">
        <x:v>Giữ cả các file gốc trong source snapshot; runtime chỉ kích hoạt một bản canonical để tránh nạp kép.</x:v>
      </x:c>
      <x:c r="O94" s="22" t="str">
        <x:v>Reference on-demand</x:v>
      </x:c>
      <x:c r="P94" s="22" t="str">
        <x:v>.agents/skills/notebook-pack/references/rag_metaprompt_standard.md</x:v>
      </x:c>
      <x:c r="Q94" s="22" t="str">
        <x:v>KEEP_SOURCE + KEEP_REFERENCE</x:v>
      </x:c>
      <x:c r="R94" s="22" t="str">
        <x:v>Cao · nạp theo nhu cầu</x:v>
      </x:c>
      <x:c r="S94" s="22" t="str">
        <x:v>Skill Codex chỉ đọc reference này khi nhiệm vụ cần; không preload toàn bộ</x:v>
      </x:c>
      <x:c r="T94" s="22" t="str">
        <x:v>7 · Skill phụ &amp; PXPIPE</x:v>
      </x:c>
      <x:c r="U94" s="22" t="str">
        <x:v>P3 · Tùy chọn</x:v>
      </x:c>
      <x:c r="V94" s="22" t="str">
        <x:v>Đã giữ reference; nạp theo nhu cầu</x:v>
      </x:c>
      <x:c r="W94" s="22" t="str">
        <x:v>CRC nguồn khớp; nội dung không mất; reference chỉ nạp khi cần; 3 ca parity và một ca không kích hoạt ngoài ý muốn.</x:v>
      </x:c>
      <x:c r="X94" s="22" t="str">
        <x:v>Không thấy rủi ro riêng ngoài yêu cầu parity và truy vết nguồn. Đích đề xuất ban đầu: skills/notebook-pack/references/rag_metaprompt_standard.md. Đích thực tế trong gói: .agents/skills/notebook-pack/references/rag_metaprompt_standard.md. Bằng chứng: SOURCE_HASH_VERIFIED; TARGET_PRESENT; ON_DEMAND_LOAD.</x:v>
      </x:c>
      <x:c r="Y94" s="22" t="str">
        <x:v>https://learn.chatgpt.com/docs/build-skills</x:v>
      </x:c>
    </x:row>
    <x:row r="95" ht="68" customHeight="1">
      <x:c r="A95" s="23" t="n">
        <x:v>91</x:v>
      </x:c>
      <x:c r="B95" s="22" t="str">
        <x:v>8.4.6-C/plugin/.claude/skills/notebook-pack/reference/rag_notebook_prompt.md</x:v>
      </x:c>
      <x:c r="C95" s="22" t="str">
        <x:v>rag_notebook_prompt.md</x:v>
      </x:c>
      <x:c r="D95" s="22" t="str">
        <x:v>10 · Plugin: skill phụ</x:v>
      </x:c>
      <x:c r="E95" s="23" t="str">
        <x:v>.md</x:v>
      </x:c>
      <x:c r="F95" s="24" t="n">
        <x:v>32034</x:v>
      </x:c>
      <x:c r="G95" s="23" t="str">
        <x:v>07C41B99</x:v>
      </x:c>
      <x:c r="H95" s="22" t="str">
        <x:v>description: &gt;; scope: rag_notebook_metaprompt_operation; version: 2.0; Tiêu đề: 🧩 RAG NOTEBOOK PROMPT v2.0 / Универсальный системный промпт для работы с метапромтами через RAG-блокнот</x:v>
      </x:c>
      <x:c r="I95" s="22" t="str">
        <x:v>System prompt để vận hành metaprompt trong notebook RAG.</x:v>
      </x:c>
      <x:c r="J95" s="22" t="str">
        <x:v>Skill phụ: RAG toolkit</x:v>
      </x:c>
      <x:c r="K95" s="22" t="str">
        <x:v>Skill độc lập/tham chiếu bổ sung</x:v>
      </x:c>
      <x:c r="L95" s="22" t="str">
        <x:v>Không phát hiện cặp tương ứng rõ ràng.</x:v>
      </x:c>
      <x:c r="M95" s="22" t="str">
        <x:v>source/8.4.6-C/plugin/.claude/skills/notebook-pack/reference/rag_notebook_prompt.md</x:v>
      </x:c>
      <x:c r="N95" s="22" t="str">
        <x:v>Giữ nguyên byte trong source/8.4.6-C; bản Codex ghi đường dẫn nguồn và CRC.</x:v>
      </x:c>
      <x:c r="O95" s="22" t="str">
        <x:v>Reference on-demand</x:v>
      </x:c>
      <x:c r="P95" s="22" t="str">
        <x:v>.agents/skills/notebook-pack/references/rag_notebook_prompt.md</x:v>
      </x:c>
      <x:c r="Q95" s="22" t="str">
        <x:v>KEEP_SOURCE + KEEP_REFERENCE</x:v>
      </x:c>
      <x:c r="R95" s="22" t="str">
        <x:v>Cao · nạp theo nhu cầu</x:v>
      </x:c>
      <x:c r="S95" s="22" t="str">
        <x:v>Skill Codex chỉ đọc reference này khi nhiệm vụ cần; không preload toàn bộ</x:v>
      </x:c>
      <x:c r="T95" s="22" t="str">
        <x:v>7 · Skill phụ &amp; PXPIPE</x:v>
      </x:c>
      <x:c r="U95" s="22" t="str">
        <x:v>P3 · Tùy chọn</x:v>
      </x:c>
      <x:c r="V95" s="22" t="str">
        <x:v>Đã giữ reference; nạp theo nhu cầu</x:v>
      </x:c>
      <x:c r="W95" s="22" t="str">
        <x:v>CRC nguồn khớp; nội dung không mất; reference chỉ nạp khi cần; 3 ca parity và một ca không kích hoạt ngoài ý muốn.</x:v>
      </x:c>
      <x:c r="X95" s="22" t="str">
        <x:v>Không thấy rủi ro riêng ngoài yêu cầu parity và truy vết nguồn. Đích đề xuất ban đầu: skills/notebook-pack/references/rag_notebook_prompt.md. Đích thực tế trong gói: .agents/skills/notebook-pack/references/rag_notebook_prompt.md. Bằng chứng: SOURCE_HASH_VERIFIED; TARGET_PRESENT; ON_DEMAND_LOAD.</x:v>
      </x:c>
      <x:c r="Y95" s="22" t="str">
        <x:v>https://learn.chatgpt.com/docs/build-skills</x:v>
      </x:c>
    </x:row>
    <x:row r="96" ht="68" customHeight="1">
      <x:c r="A96" s="23" t="n">
        <x:v>92</x:v>
      </x:c>
      <x:c r="B96" s="22" t="str">
        <x:v>8.4.6-C/plugin/.claude/skills/p2p-quorum/SKILL.md</x:v>
      </x:c>
      <x:c r="C96" s="22" t="str">
        <x:v>SKILL.md</x:v>
      </x:c>
      <x:c r="D96" s="22" t="str">
        <x:v>10 · Plugin: skill phụ</x:v>
      </x:c>
      <x:c r="E96" s="23" t="str">
        <x:v>.md</x:v>
      </x:c>
      <x:c r="F96" s="24" t="n">
        <x:v>1520</x:v>
      </x:c>
      <x:c r="G96" s="23" t="str">
        <x:v>442E31E2</x:v>
      </x:c>
      <x:c r="H96" s="22" t="str">
        <x:v>name: p2p-quorum; description: &gt;-; version: 8.4.6-C; Tiêu đề: P2P QUORUM (skill wrapper)</x:v>
      </x:c>
      <x:c r="I96" s="22" t="str">
        <x:v>Skill wrapper gọi QUORUM và chọn full/sub-QUORUM.</x:v>
      </x:c>
      <x:c r="J96" s="22" t="str">
        <x:v>QUORUM &amp; đa agent</x:v>
      </x:c>
      <x:c r="K96" s="22" t="str">
        <x:v>Skill độc lập/tham chiếu bổ sung</x:v>
      </x:c>
      <x:c r="L96" s="22" t="str">
        <x:v>Không phát hiện cặp tương ứng rõ ràng.</x:v>
      </x:c>
      <x:c r="M96" s="22" t="str">
        <x:v>source/8.4.6-C/plugin/.claude/skills/p2p-quorum/SKILL.md</x:v>
      </x:c>
      <x:c r="N96" s="22" t="str">
        <x:v>Giữ nguyên byte trong source/8.4.6-C; bản Codex ghi đường dẫn nguồn và CRC.</x:v>
      </x:c>
      <x:c r="O96" s="22" t="str">
        <x:v>Skill đa agent</x:v>
      </x:c>
      <x:c r="P96" s="22" t="str">
        <x:v>.agents/skills/p2p-quorum/SKILL.md</x:v>
      </x:c>
      <x:c r="Q96" s="22" t="str">
        <x:v>KEEP_SOURCE + TRANSLATE_SKILL</x:v>
      </x:c>
      <x:c r="R96" s="22" t="str">
        <x:v>Cao · chuẩn skill gần tương đương</x:v>
      </x:c>
      <x:c r="S96" s="22" t="str">
        <x:v>Gọi rõ bằng $tên-skill; ChatGPT Work dùng @tên-skill</x:v>
      </x:c>
      <x:c r="T96" s="22" t="str">
        <x:v>2 · 8 agent &amp; QUORUM</x:v>
      </x:c>
      <x:c r="U96" s="22" t="str">
        <x:v>P0 · Bắt buộc</x:v>
      </x:c>
      <x:c r="V96" s="22" t="str">
        <x:v>Đã chuyển và kiểm tra cấu trúc</x:v>
      </x:c>
      <x:c r="W96" s="22" t="str">
        <x:v>SKILL.md hợp lệ; gọi $skill đúng; trigger tự động không quá rộng; 3 ca đơn giản/trung bình/đối kháng đạt parity.</x:v>
      </x:c>
      <x:c r="X96" s="22" t="str">
        <x:v>Không thấy rủi ro riêng ngoài yêu cầu parity và truy vết nguồn. Đích đề xuất ban đầu: skills/p2p-quorum/SKILL.md. Đích thực tế trong gói: .agents/skills/p2p-quorum/SKILL.md. Bằng chứng: TARGET_PRESENT; SKILL_VALIDATOR_PASS.</x:v>
      </x:c>
      <x:c r="Y96" s="22" t="str">
        <x:v>https://learn.chatgpt.com/docs/agent-configuration/subagents</x:v>
      </x:c>
    </x:row>
    <x:row r="97" ht="68" customHeight="1">
      <x:c r="A97" s="23" t="n">
        <x:v>93</x:v>
      </x:c>
      <x:c r="B97" s="22" t="str">
        <x:v>8.4.6-C/plugin/.claude/skills/p2p-teacher/SKILL.md</x:v>
      </x:c>
      <x:c r="C97" s="22" t="str">
        <x:v>SKILL.md</x:v>
      </x:c>
      <x:c r="D97" s="22" t="str">
        <x:v>10 · Plugin: skill phụ</x:v>
      </x:c>
      <x:c r="E97" s="23" t="str">
        <x:v>.md</x:v>
      </x:c>
      <x:c r="F97" s="24" t="n">
        <x:v>2924</x:v>
      </x:c>
      <x:c r="G97" s="23" t="str">
        <x:v>8BE25758</x:v>
      </x:c>
      <x:c r="H97" s="22" t="str">
        <x:v>name: p2p-teacher; description: Interactive teaching mode for the P2P meta-prompt system. Use when the user wants to learn P2P, asks "how do I use P2P", "explain P2P to me", "научи меня P2P", "как пользоваться P2P", "не понимаю как работает", "как использовать систему", "что умеет P2P", "научи использовать", or any natural-language request to onboard, train, or get guided through the P2P system. Triggers a 5-level c…</x:v>
      </x:c>
      <x:c r="I97" s="22" t="str">
        <x:v>Skill wrapper kích hoạt giáo trình P2P cho người mới.</x:v>
      </x:c>
      <x:c r="J97" s="22" t="str">
        <x:v>Đào tạo &amp; hướng dẫn</x:v>
      </x:c>
      <x:c r="K97" s="22" t="str">
        <x:v>Skill độc lập/tham chiếu bổ sung</x:v>
      </x:c>
      <x:c r="L97" s="22" t="str">
        <x:v>Không phát hiện cặp tương ứng rõ ràng.</x:v>
      </x:c>
      <x:c r="M97" s="22" t="str">
        <x:v>source/8.4.6-C/plugin/.claude/skills/p2p-teacher/SKILL.md</x:v>
      </x:c>
      <x:c r="N97" s="22" t="str">
        <x:v>Giữ nguyên byte trong source/8.4.6-C; bản Codex ghi đường dẫn nguồn và CRC.</x:v>
      </x:c>
      <x:c r="O97" s="22" t="str">
        <x:v>Skill đào tạo</x:v>
      </x:c>
      <x:c r="P97" s="22" t="str">
        <x:v>.agents/skills/p2p-teacher/SKILL.md</x:v>
      </x:c>
      <x:c r="Q97" s="22" t="str">
        <x:v>KEEP_SOURCE + TRANSLATE_SKILL</x:v>
      </x:c>
      <x:c r="R97" s="22" t="str">
        <x:v>Cao · chuẩn skill gần tương đương</x:v>
      </x:c>
      <x:c r="S97" s="22" t="str">
        <x:v>Gọi rõ bằng $tên-skill; ChatGPT Work dùng @tên-skill</x:v>
      </x:c>
      <x:c r="T97" s="22" t="str">
        <x:v>4 · Scope, trạng thái &amp; đào tạo</x:v>
      </x:c>
      <x:c r="U97" s="22" t="str">
        <x:v>P1 · Cao</x:v>
      </x:c>
      <x:c r="V97" s="22" t="str">
        <x:v>Đã chuyển và kiểm tra cấu trúc</x:v>
      </x:c>
      <x:c r="W97" s="22" t="str">
        <x:v>SKILL.md hợp lệ; gọi $skill đúng; trigger tự động không quá rộng; 3 ca đơn giản/trung bình/đối kháng đạt parity.</x:v>
      </x:c>
      <x:c r="X97" s="22" t="str">
        <x:v>Không thấy rủi ro riêng ngoài yêu cầu parity và truy vết nguồn. Đích đề xuất ban đầu: skills/p2p-teacher/SKILL.md. Đích thực tế trong gói: .agents/skills/p2p-teacher/SKILL.md. Bằng chứng: TARGET_PRESENT; SKILL_VALIDATOR_PASS.</x:v>
      </x:c>
      <x:c r="Y97" s="22" t="str">
        <x:v>https://learn.chatgpt.com/docs/build-skills</x:v>
      </x:c>
    </x:row>
    <x:row r="98" ht="68" customHeight="1">
      <x:c r="A98" s="23" t="n">
        <x:v>94</x:v>
      </x:c>
      <x:c r="B98" s="22" t="str">
        <x:v>8.4.6-C/plugin/.claude/skills/p2p/SKILL.md</x:v>
      </x:c>
      <x:c r="C98" s="22" t="str">
        <x:v>SKILL.md</x:v>
      </x:c>
      <x:c r="D98" s="22" t="str">
        <x:v>09 · Plugin: lõi P2P</x:v>
      </x:c>
      <x:c r="E98" s="23" t="str">
        <x:v>.md</x:v>
      </x:c>
      <x:c r="F98" s="24" t="n">
        <x:v>3516</x:v>
      </x:c>
      <x:c r="G98" s="23" t="str">
        <x:v>DEAAD2FE</x:v>
      </x:c>
      <x:c r="H98" s="22" t="str">
        <x:v>name: p2p; description: P2P — main Skill entry point of the Prompt-to-Prompt meta-prompt system for Claude. Use when the user types /p2p, /start, старт, or /menu, or asks to build/generate/optimize a prompt, run a QUORUM multi-agent review, SCOPE.HELM scoping, or any /p2p-* workflow. Entry point and main menu for the P2P system. Not for the interactive course (use p2p-teacher).; scope: P2P Claude Edition skill manif…</x:v>
      </x:c>
      <x:c r="I98" s="22" t="str">
        <x:v>Manifest/điểm gọi chính của P2P, khai báo trigger và định tuyến sang các module.</x:v>
      </x:c>
      <x:c r="J98" s="22" t="str">
        <x:v>Lõi &amp; điều phối</x:v>
      </x:c>
      <x:c r="K98" s="22" t="str">
        <x:v>Nguồn vận hành plugin Claude (canonical)</x:v>
      </x:c>
      <x:c r="L98" s="22" t="str">
        <x:v>Cùng chức năng/biến thể triển khai với: 8.4.6-C/for-chat/!skills.md</x:v>
      </x:c>
      <x:c r="M98" s="22" t="str">
        <x:v>source/8.4.6-C/plugin/.claude/skills/p2p/SKILL.md</x:v>
      </x:c>
      <x:c r="N98" s="22" t="str">
        <x:v>Giữ cả các file gốc trong source snapshot; runtime chỉ kích hoạt một bản canonical để tránh nạp kép.</x:v>
      </x:c>
      <x:c r="O98" s="22" t="str">
        <x:v>Skill điều phối</x:v>
      </x:c>
      <x:c r="P98" s="22" t="str">
        <x:v>.agents/skills/p2p/SKILL.md</x:v>
      </x:c>
      <x:c r="Q98" s="22" t="str">
        <x:v>KEEP_SOURCE + SPLIT_AND_REWRITE</x:v>
      </x:c>
      <x:c r="R98" s="22" t="str">
        <x:v>Trung bình · phải đổi dispatcher/nạp</x:v>
      </x:c>
      <x:c r="S98" s="22" t="str">
        <x:v>Gọi rõ bằng $tên-skill; ChatGPT Work dùng @tên-skill</x:v>
      </x:c>
      <x:c r="T98" s="22" t="str">
        <x:v>1 · Nền tảng &amp; lõi</x:v>
      </x:c>
      <x:c r="U98" s="22" t="str">
        <x:v>P0 · Bắt buộc</x:v>
      </x:c>
      <x:c r="V98" s="22" t="str">
        <x:v>Đã chuyển và kiểm tra cấu trúc</x:v>
      </x:c>
      <x:c r="W98" s="22" t="str">
        <x:v>SKILL.md hợp lệ; gọi $skill đúng; trigger tự động không quá rộng; 3 ca đơn giản/trung bình/đối kháng đạt parity.</x:v>
      </x:c>
      <x:c r="X98" s="22" t="str">
        <x:v>Không thấy rủi ro riêng ngoài yêu cầu parity và truy vết nguồn. Đích đề xuất ban đầu: skills/p2p/SKILL.md. Đích thực tế trong gói: .agents/skills/p2p/SKILL.md. Bằng chứng: TARGET_PRESENT; SKILL_VALIDATOR_PASS.</x:v>
      </x:c>
      <x:c r="Y98" s="22" t="str">
        <x:v>https://learn.chatgpt.com/docs/build-skills</x:v>
      </x:c>
    </x:row>
    <x:row r="99" ht="68" customHeight="1">
      <x:c r="A99" s="23" t="n">
        <x:v>95</x:v>
      </x:c>
      <x:c r="B99" s="22" t="str">
        <x:v>8.4.6-C/plugin/.claude/skills/p2p/agents.md</x:v>
      </x:c>
      <x:c r="C99" s="22" t="str">
        <x:v>agents.md</x:v>
      </x:c>
      <x:c r="D99" s="22" t="str">
        <x:v>09 · Plugin: lõi P2P</x:v>
      </x:c>
      <x:c r="E99" s="23" t="str">
        <x:v>.md</x:v>
      </x:c>
      <x:c r="F99" s="24" t="n">
        <x:v>19039</x:v>
      </x:c>
      <x:c r="G99" s="23" t="str">
        <x:v>4D23AF2B</x:v>
      </x:c>
      <x:c r="H99" s="22" t="str">
        <x:v>scope: Full agent profiles — IRIS, TECTON, AXIOM, VECTOR, DATOS, ANON, ARCHITECTON, HELIOS. QUORUM orchestration patterns, direct invocation, sub-QUORUM compositions.; version: 8.4.6-C; Tiêu đề: P2P — АГЕНТЫ (agents.md) / IRIS — Исследователь и Картограф</x:v>
      </x:c>
      <x:c r="I99" s="22" t="str">
        <x:v>Mô tả đầy đủ 8 agent và các mẫu QUORUM/sub-QUORUM.</x:v>
      </x:c>
      <x:c r="J99" s="22" t="str">
        <x:v>QUORUM &amp; đa agent</x:v>
      </x:c>
      <x:c r="K99" s="22" t="str">
        <x:v>Nguồn vận hành plugin Claude (canonical)</x:v>
      </x:c>
      <x:c r="L99" s="22" t="str">
        <x:v>Cùng chức năng/biến thể triển khai với: 8.4.6-C/for-chat/!agents.md</x:v>
      </x:c>
      <x:c r="M99" s="22" t="str">
        <x:v>source/8.4.6-C/plugin/.claude/skills/p2p/agents.md</x:v>
      </x:c>
      <x:c r="N99" s="22" t="str">
        <x:v>Giữ cả các file gốc trong source snapshot; runtime chỉ kích hoạt một bản canonical để tránh nạp kép.</x:v>
      </x:c>
      <x:c r="O99" s="22" t="str">
        <x:v>Reference on-demand</x:v>
      </x:c>
      <x:c r="P99" s="22" t="str">
        <x:v>.agents/skills/p2p/references/legacy/agents.md</x:v>
      </x:c>
      <x:c r="Q99" s="22" t="str">
        <x:v>KEEP_SOURCE + TRANSLATE_SEMANTICS</x:v>
      </x:c>
      <x:c r="R99" s="22" t="str">
        <x:v>Cao về kiến thức · cần bỏ giả định Claude</x:v>
      </x:c>
      <x:c r="S99" s="22" t="str">
        <x:v>Skill Codex chỉ đọc reference này khi nhiệm vụ cần; không preload toàn bộ</x:v>
      </x:c>
      <x:c r="T99" s="22" t="str">
        <x:v>2 · 8 agent &amp; QUORUM</x:v>
      </x:c>
      <x:c r="U99" s="22" t="str">
        <x:v>P0 · Bắt buộc</x:v>
      </x:c>
      <x:c r="V99" s="22" t="str">
        <x:v>Đã giữ reference; nạp theo nhu cầu</x:v>
      </x:c>
      <x:c r="W99" s="22" t="str">
        <x:v>CRC nguồn khớp; nội dung không mất; reference chỉ nạp khi cần; 3 ca parity và một ca không kích hoạt ngoài ý muốn.</x:v>
      </x:c>
      <x:c r="X99" s="22" t="str">
        <x:v>Không thấy rủi ro riêng ngoài yêu cầu parity và truy vết nguồn. Đích đề xuất ban đầu: skills/p2p/references/agents.md. Đích thực tế trong gói: .agents/skills/p2p/references/legacy/agents.md. Bằng chứng: SOURCE_HASH_VERIFIED; TARGET_PRESENT; ON_DEMAND_LOAD.</x:v>
      </x:c>
      <x:c r="Y99" s="22" t="str">
        <x:v>https://learn.chatgpt.com/docs/agent-configuration/subagents</x:v>
      </x:c>
    </x:row>
    <x:row r="100" ht="68" customHeight="1">
      <x:c r="A100" s="23" t="n">
        <x:v>96</x:v>
      </x:c>
      <x:c r="B100" s="22" t="str">
        <x:v>8.4.6-C/plugin/.claude/skills/p2p/art.md</x:v>
      </x:c>
      <x:c r="C100" s="22" t="str">
        <x:v>art.md</x:v>
      </x:c>
      <x:c r="D100" s="22" t="str">
        <x:v>09 · Plugin: lõi P2P</x:v>
      </x:c>
      <x:c r="E100" s="23" t="str">
        <x:v>.md</x:v>
      </x:c>
      <x:c r="F100" s="24" t="n">
        <x:v>5176</x:v>
      </x:c>
      <x:c r="G100" s="23" t="str">
        <x:v>DABACFD2</x:v>
      </x:c>
      <x:c r="H100" s="22" t="str">
        <x:v>scope: ASCII-баннеры для ключевых режимов, меняющих механику взаимодействия (PILOT ×3, SHERPA, QUORUM, SCOPE.HELM, EXPLORATION). ON-DEMAND — кому не нужно, не загружает. Ноль налога на обычную работу.; version: 8.4.6-C; Tiêu đề: P2P — ART BANNERS (art.md) / ПРАВИЛО ПОКАЗА</x:v>
      </x:c>
      <x:c r="I100" s="22" t="str">
        <x:v>Bộ banner chữ cho các chế độ P2P; chỉ hiển thị khi chế độ tương ứng được kích hoạt.</x:v>
      </x:c>
      <x:c r="J100" s="22" t="str">
        <x:v>Nội dung, media &amp; trình bày</x:v>
      </x:c>
      <x:c r="K100" s="22" t="str">
        <x:v>Nguồn vận hành plugin Claude (canonical)</x:v>
      </x:c>
      <x:c r="L100" s="22" t="str">
        <x:v>Cùng chức năng/biến thể triển khai với: 8.4.6-C/for-chat/!art.md</x:v>
      </x:c>
      <x:c r="M100" s="22" t="str">
        <x:v>source/8.4.6-C/plugin/.claude/skills/p2p/art.md</x:v>
      </x:c>
      <x:c r="N100" s="22" t="str">
        <x:v>Giữ cả các file gốc trong source snapshot; runtime chỉ kích hoạt một bản canonical để tránh nạp kép.</x:v>
      </x:c>
      <x:c r="O100" s="22" t="str">
        <x:v>Reference on-demand</x:v>
      </x:c>
      <x:c r="P100" s="22" t="str">
        <x:v>.agents/skills/p2p/references/legacy/art.md</x:v>
      </x:c>
      <x:c r="Q100" s="22" t="str">
        <x:v>KEEP_SOURCE + TRANSLATE_SEMANTICS</x:v>
      </x:c>
      <x:c r="R100" s="22" t="str">
        <x:v>Cao về kiến thức · cần bỏ giả định Claude</x:v>
      </x:c>
      <x:c r="S100" s="22" t="str">
        <x:v>Skill Codex chỉ đọc reference này khi nhiệm vụ cần; không preload toàn bộ</x:v>
      </x:c>
      <x:c r="T100" s="22" t="str">
        <x:v>5 · Mô-đun mở rộng</x:v>
      </x:c>
      <x:c r="U100" s="22" t="str">
        <x:v>P2 · Trung bình</x:v>
      </x:c>
      <x:c r="V100" s="22" t="str">
        <x:v>Đã giữ reference; nạp theo nhu cầu</x:v>
      </x:c>
      <x:c r="W100" s="22" t="str">
        <x:v>CRC nguồn khớp; nội dung không mất; reference chỉ nạp khi cần; 3 ca parity và một ca không kích hoạt ngoài ý muốn.</x:v>
      </x:c>
      <x:c r="X100" s="22" t="str">
        <x:v>Không thấy rủi ro riêng ngoài yêu cầu parity và truy vết nguồn. Đích đề xuất ban đầu: skills/p2p/references/art.md. Đích thực tế trong gói: .agents/skills/p2p/references/legacy/art.md. Bằng chứng: SOURCE_HASH_VERIFIED; TARGET_PRESENT; ON_DEMAND_LOAD.</x:v>
      </x:c>
      <x:c r="Y100" s="22" t="str">
        <x:v>https://learn.chatgpt.com/docs/build-skills</x:v>
      </x:c>
    </x:row>
    <x:row r="101" ht="68" customHeight="1">
      <x:c r="A101" s="23" t="n">
        <x:v>97</x:v>
      </x:c>
      <x:c r="B101" s="22" t="str">
        <x:v>8.4.6-C/plugin/.claude/skills/p2p/compression.md</x:v>
      </x:c>
      <x:c r="C101" s="22" t="str">
        <x:v>compression.md</x:v>
      </x:c>
      <x:c r="D101" s="22" t="str">
        <x:v>09 · Plugin: lõi P2P</x:v>
      </x:c>
      <x:c r="E101" s="23" t="str">
        <x:v>.md</x:v>
      </x:c>
      <x:c r="F101" s="24" t="n">
        <x:v>9888</x:v>
      </x:c>
      <x:c r="G101" s="23" t="str">
        <x:v>75193E42</x:v>
      </x:c>
      <x:c r="H101" s="22" t="str">
        <x:v>scope: Сжатие контекста для P2P — LLMLingua, Gist Tokens, Verbatim Deletion, Selective Summarization, Context Engineering. Загружается по триггеру или MODULE_COMPRESSION=true.; version: 8.4.6-C; Tiêu đề: P2P — COMPRESSION MODULE (compression.md) / ТЕХНИКИ СЖАТИЯ (интегрированные)</x:v>
      </x:c>
      <x:c r="I101" s="22" t="str">
        <x:v>Kỹ thuật nén ngữ cảnh và tóm tắt chọn lọc nhằm giảm chi phí token.</x:v>
      </x:c>
      <x:c r="J101" s="22" t="str">
        <x:v>Nén ngữ cảnh &amp; PXPIPE</x:v>
      </x:c>
      <x:c r="K101" s="22" t="str">
        <x:v>Nguồn vận hành plugin Claude (canonical)</x:v>
      </x:c>
      <x:c r="L101" s="22" t="str">
        <x:v>Cùng chức năng/biến thể triển khai với: 8.4.6-C/for-chat/!compression.md</x:v>
      </x:c>
      <x:c r="M101" s="22" t="str">
        <x:v>source/8.4.6-C/plugin/.claude/skills/p2p/compression.md</x:v>
      </x:c>
      <x:c r="N101" s="22" t="str">
        <x:v>Giữ cả các file gốc trong source snapshot; runtime chỉ kích hoạt một bản canonical để tránh nạp kép.</x:v>
      </x:c>
      <x:c r="O101" s="22" t="str">
        <x:v>Reference on-demand</x:v>
      </x:c>
      <x:c r="P101" s="22" t="str">
        <x:v>.agents/skills/p2p/references/legacy/compression.md</x:v>
      </x:c>
      <x:c r="Q101" s="22" t="str">
        <x:v>KEEP_SOURCE + TRANSLATE_SEMANTICS</x:v>
      </x:c>
      <x:c r="R101" s="22" t="str">
        <x:v>Cao về kiến thức · cần bỏ giả định Claude</x:v>
      </x:c>
      <x:c r="S101" s="22" t="str">
        <x:v>Skill Codex chỉ đọc reference này khi nhiệm vụ cần; không preload toàn bộ</x:v>
      </x:c>
      <x:c r="T101" s="22" t="str">
        <x:v>5 · Mô-đun mở rộng</x:v>
      </x:c>
      <x:c r="U101" s="22" t="str">
        <x:v>P2 · Trung bình</x:v>
      </x:c>
      <x:c r="V101" s="22" t="str">
        <x:v>Đã giữ reference; nạp theo nhu cầu</x:v>
      </x:c>
      <x:c r="W101" s="22" t="str">
        <x:v>CRC nguồn khớp; nội dung không mất; reference chỉ nạp khi cần; 3 ca parity và một ca không kích hoạt ngoài ý muốn.</x:v>
      </x:c>
      <x:c r="X101" s="22" t="str">
        <x:v>Không thấy rủi ro riêng ngoài yêu cầu parity và truy vết nguồn. Đích đề xuất ban đầu: skills/p2p/references/compression.md. Đích thực tế trong gói: .agents/skills/p2p/references/legacy/compression.md. Bằng chứng: SOURCE_HASH_VERIFIED; TARGET_PRESENT; ON_DEMAND_LOAD.</x:v>
      </x:c>
      <x:c r="Y101" s="22" t="str">
        <x:v>https://learn.chatgpt.com/docs/build-skills</x:v>
      </x:c>
    </x:row>
    <x:row r="102" ht="68" customHeight="1">
      <x:c r="A102" s="23" t="n">
        <x:v>98</x:v>
      </x:c>
      <x:c r="B102" s="22" t="str">
        <x:v>8.4.6-C/plugin/.claude/skills/p2p/contract_builder.md</x:v>
      </x:c>
      <x:c r="C102" s="22" t="str">
        <x:v>contract_builder.md</x:v>
      </x:c>
      <x:c r="D102" s="22" t="str">
        <x:v>09 · Plugin: lõi P2P</x:v>
      </x:c>
      <x:c r="E102" s="23" t="str">
        <x:v>.md</x:v>
      </x:c>
      <x:c r="F102" s="24" t="n">
        <x:v>17186</x:v>
      </x:c>
      <x:c r="G102" s="23" t="str">
        <x:v>D5F8B2E4</x:v>
      </x:c>
      <x:c r="H102" s="22" t="str">
        <x:v>scope: Contract Builder — 9-step algorithm full implementation, Translation Layer for 8 models, XML scaffold patterns, output validation.; version: 8.4.6-C; Tiêu đề: P2P — CONTRACT BUILDER (contract_builder.md) / CONTRACT BUILDER — 9-STEP WORKFLOW</x:v>
      </x:c>
      <x:c r="I102" s="22" t="str">
        <x:v>Contract Builder 9 bước: biến yêu cầu thành hợp đồng prompt, scaffold và kiểm tra đầu ra.</x:v>
      </x:c>
      <x:c r="J102" s="22" t="str">
        <x:v>Prompt engineering &amp; QC</x:v>
      </x:c>
      <x:c r="K102" s="22" t="str">
        <x:v>Nguồn vận hành plugin Claude (canonical)</x:v>
      </x:c>
      <x:c r="L102" s="22" t="str">
        <x:v>Cùng chức năng/biến thể triển khai với: 8.4.6-C/for-chat/!contract.md</x:v>
      </x:c>
      <x:c r="M102" s="22" t="str">
        <x:v>source/8.4.6-C/plugin/.claude/skills/p2p/contract_builder.md</x:v>
      </x:c>
      <x:c r="N102" s="22" t="str">
        <x:v>Giữ cả các file gốc trong source snapshot; runtime chỉ kích hoạt một bản canonical để tránh nạp kép.</x:v>
      </x:c>
      <x:c r="O102" s="22" t="str">
        <x:v>Reference on-demand</x:v>
      </x:c>
      <x:c r="P102" s="22" t="str">
        <x:v>.agents/skills/p2p/references/legacy/contract_builder.md</x:v>
      </x:c>
      <x:c r="Q102" s="22" t="str">
        <x:v>KEEP_SOURCE + TRANSLATE_SEMANTICS</x:v>
      </x:c>
      <x:c r="R102" s="22" t="str">
        <x:v>Cao về kiến thức · cần bỏ giả định Claude</x:v>
      </x:c>
      <x:c r="S102" s="22" t="str">
        <x:v>Skill Codex chỉ đọc reference này khi nhiệm vụ cần; không preload toàn bộ</x:v>
      </x:c>
      <x:c r="T102" s="22" t="str">
        <x:v>3 · Lệnh &amp; prompt workflow</x:v>
      </x:c>
      <x:c r="U102" s="22" t="str">
        <x:v>P1 · Cao</x:v>
      </x:c>
      <x:c r="V102" s="22" t="str">
        <x:v>Đã giữ reference; nạp theo nhu cầu</x:v>
      </x:c>
      <x:c r="W102" s="22" t="str">
        <x:v>CRC nguồn khớp; nội dung không mất; reference chỉ nạp khi cần; 3 ca parity và một ca không kích hoạt ngoài ý muốn.</x:v>
      </x:c>
      <x:c r="X102" s="22" t="str">
        <x:v>Có giả định Claude/XML/model-specific; cần giữ ý nghĩa nhưng viết lại cơ chế cho Codex. Đích đề xuất ban đầu: skills/p2p/references/contract_builder.md. Đích thực tế trong gói: .agents/skills/p2p/references/legacy/contract_builder.md. Bằng chứng: SOURCE_HASH_VERIFIED; TARGET_PRESENT; ON_DEMAND_LOAD.</x:v>
      </x:c>
      <x:c r="Y102" s="22" t="str">
        <x:v>https://learn.chatgpt.com/docs/build-skills</x:v>
      </x:c>
    </x:row>
    <x:row r="103" ht="68" customHeight="1">
      <x:c r="A103" s="23" t="n">
        <x:v>99</x:v>
      </x:c>
      <x:c r="B103" s="22" t="str">
        <x:v>8.4.6-C/plugin/.claude/skills/p2p/core.md</x:v>
      </x:c>
      <x:c r="C103" s="22" t="str">
        <x:v>core.md</x:v>
      </x:c>
      <x:c r="D103" s="22" t="str">
        <x:v>09 · Plugin: lõi P2P</x:v>
      </x:c>
      <x:c r="E103" s="23" t="str">
        <x:v>.md</x:v>
      </x:c>
      <x:c r="F103" s="24" t="n">
        <x:v>41182</x:v>
      </x:c>
      <x:c r="G103" s="23" t="str">
        <x:v>91E21BEA</x:v>
      </x:c>
      <x:c r="H103" s="22" t="str">
        <x:v>scope: Claude Edition core — XML-native, TRI_MODE_BRIDGE v3, 42-item menu, /p2p dispatcher boundary, SIR SCANNER v3.3, QUORUM_SIMULATED_PROTOCOL, CONSTRAINT_REINJECTION_PROTOCOL, DEEP_THINK_VALUE_GATE, ATLAS v2, teacher route. Always loaded.; version: 8.4.6-C; Tiêu đề: /lang HANDLER (output language switch) / МЕНЮ P2P 8.4.6-C (на `/start`, `старт`, `/p2p` БЕЗ АРГУМЕНТОВ, `/menu`, `full ui menu` — ВСЕГДА целиком)</x:v>
      </x:c>
      <x:c r="I103" s="22" t="str">
        <x:v>Bộ điều phối trung tâm: nhận yêu cầu, phân tuyến chế độ, menu, kiểm soát ràng buộc và QUORUM.</x:v>
      </x:c>
      <x:c r="J103" s="22" t="str">
        <x:v>Lõi &amp; điều phối</x:v>
      </x:c>
      <x:c r="K103" s="22" t="str">
        <x:v>Nguồn vận hành plugin Claude (canonical)</x:v>
      </x:c>
      <x:c r="L103" s="22" t="str">
        <x:v>Cùng chức năng/biến thể triển khai với: 8.4.6-C/for-chat/!!core_v8C.md</x:v>
      </x:c>
      <x:c r="M103" s="22" t="str">
        <x:v>source/8.4.6-C/plugin/.claude/skills/p2p/core.md</x:v>
      </x:c>
      <x:c r="N103" s="22" t="str">
        <x:v>Giữ cả các file gốc trong source snapshot; runtime chỉ kích hoạt một bản canonical để tránh nạp kép.</x:v>
      </x:c>
      <x:c r="O103" s="22" t="str">
        <x:v>Reference on-demand</x:v>
      </x:c>
      <x:c r="P103" s="22" t="str">
        <x:v>.agents/skills/p2p/references/legacy/core.md</x:v>
      </x:c>
      <x:c r="Q103" s="22" t="str">
        <x:v>KEEP_SOURCE + SPLIT_AND_REWRITE</x:v>
      </x:c>
      <x:c r="R103" s="22" t="str">
        <x:v>Trung bình · phải đổi dispatcher/nạp</x:v>
      </x:c>
      <x:c r="S103" s="22" t="str">
        <x:v>Skill Codex chỉ đọc reference này khi nhiệm vụ cần; không preload toàn bộ</x:v>
      </x:c>
      <x:c r="T103" s="22" t="str">
        <x:v>1 · Nền tảng &amp; lõi</x:v>
      </x:c>
      <x:c r="U103" s="22" t="str">
        <x:v>P0 · Bắt buộc</x:v>
      </x:c>
      <x:c r="V103" s="22" t="str">
        <x:v>Đã giữ reference; nạp theo nhu cầu</x:v>
      </x:c>
      <x:c r="W103" s="22" t="str">
        <x:v>CRC nguồn khớp; nội dung không mất; reference chỉ nạp khi cần; 3 ca parity và một ca không kích hoạt ngoài ý muốn.</x:v>
      </x:c>
      <x:c r="X103" s="22" t="str">
        <x:v>Có giả định Claude/XML/model-specific; cần giữ ý nghĩa nhưng viết lại cơ chế cho Codex. Đích đề xuất ban đầu: skills/p2p/references/core.md. Đích thực tế trong gói: .agents/skills/p2p/references/legacy/core.md. Bằng chứng: SOURCE_HASH_VERIFIED; TARGET_PRESENT; ON_DEMAND_LOAD.</x:v>
      </x:c>
      <x:c r="Y103" s="22" t="str">
        <x:v>https://learn.chatgpt.com/docs/build-skills</x:v>
      </x:c>
    </x:row>
    <x:row r="104" ht="68" customHeight="1">
      <x:c r="A104" s="23" t="n">
        <x:v>100</x:v>
      </x:c>
      <x:c r="B104" s="22" t="str">
        <x:v>8.4.6-C/plugin/.claude/skills/p2p/db.md</x:v>
      </x:c>
      <x:c r="C104" s="22" t="str">
        <x:v>db.md</x:v>
      </x:c>
      <x:c r="D104" s="22" t="str">
        <x:v>09 · Plugin: lõi P2P</x:v>
      </x:c>
      <x:c r="E104" s="23" t="str">
        <x:v>.md</x:v>
      </x:c>
      <x:c r="F104" s="24" t="n">
        <x:v>62813</x:v>
      </x:c>
      <x:c r="G104" s="23" t="str">
        <x:v>29A91513</x:v>
      </x:c>
      <x:c r="H104" s="22" t="str">
        <x:v>scope: P2P knowledge base — G-errors G1-G20, Extended Thinking rules, Claude-specific patterns, Template Library A–M, QUORUM agent definitions, 9-step algorithm. Always loaded.; version: 8.4.6-C; Tiêu đề: P2P — БАЗА ЗНАНИЙ (db.md) / РАЗДЕЛ 1 — G-ERRORS CATALOG (G1–G20)</x:v>
      </x:c>
      <x:c r="I104" s="22" t="str">
        <x:v>Kho tri thức nền: lỗi G1–G20, mẫu prompt A–M, quy tắc suy luận và thuật toán 9 bước.</x:v>
      </x:c>
      <x:c r="J104" s="22" t="str">
        <x:v>Prompt engineering &amp; QC</x:v>
      </x:c>
      <x:c r="K104" s="22" t="str">
        <x:v>Nguồn vận hành plugin Claude (canonical)</x:v>
      </x:c>
      <x:c r="L104" s="22" t="str">
        <x:v>Cùng chức năng/biến thể triển khai với: 8.4.6-C/for-chat/!!db_v8C.md</x:v>
      </x:c>
      <x:c r="M104" s="22" t="str">
        <x:v>source/8.4.6-C/plugin/.claude/skills/p2p/db.md</x:v>
      </x:c>
      <x:c r="N104" s="22" t="str">
        <x:v>Giữ cả các file gốc trong source snapshot; runtime chỉ kích hoạt một bản canonical để tránh nạp kép.</x:v>
      </x:c>
      <x:c r="O104" s="22" t="str">
        <x:v>Reference on-demand</x:v>
      </x:c>
      <x:c r="P104" s="22" t="str">
        <x:v>.agents/skills/p2p/references/legacy/db.md</x:v>
      </x:c>
      <x:c r="Q104" s="22" t="str">
        <x:v>KEEP_SOURCE + TRANSLATE_SEMANTICS</x:v>
      </x:c>
      <x:c r="R104" s="22" t="str">
        <x:v>Cao về kiến thức · cần bỏ giả định Claude</x:v>
      </x:c>
      <x:c r="S104" s="22" t="str">
        <x:v>Skill Codex chỉ đọc reference này khi nhiệm vụ cần; không preload toàn bộ</x:v>
      </x:c>
      <x:c r="T104" s="22" t="str">
        <x:v>1 · Nền tảng &amp; lõi</x:v>
      </x:c>
      <x:c r="U104" s="22" t="str">
        <x:v>P0 · Bắt buộc</x:v>
      </x:c>
      <x:c r="V104" s="22" t="str">
        <x:v>Đã giữ reference; nạp theo nhu cầu</x:v>
      </x:c>
      <x:c r="W104" s="22" t="str">
        <x:v>CRC nguồn khớp; nội dung không mất; reference chỉ nạp khi cần; 3 ca parity và một ca không kích hoạt ngoài ý muốn.</x:v>
      </x:c>
      <x:c r="X104" s="22" t="str">
        <x:v>Có giả định Claude/XML/model-specific; cần giữ ý nghĩa nhưng viết lại cơ chế cho Codex. Đích đề xuất ban đầu: skills/p2p/references/db.md. Đích thực tế trong gói: .agents/skills/p2p/references/legacy/db.md. Bằng chứng: SOURCE_HASH_VERIFIED; TARGET_PRESENT; ON_DEMAND_LOAD.</x:v>
      </x:c>
      <x:c r="Y104" s="22" t="str">
        <x:v>https://learn.chatgpt.com/docs/build-skills</x:v>
      </x:c>
    </x:row>
    <x:row r="105" ht="68" customHeight="1">
      <x:c r="A105" s="23" t="n">
        <x:v>101</x:v>
      </x:c>
      <x:c r="B105" s="22" t="str">
        <x:v>8.4.6-C/plugin/.claude/skills/p2p/debug_engine.md</x:v>
      </x:c>
      <x:c r="C105" s="22" t="str">
        <x:v>debug_engine.md</x:v>
      </x:c>
      <x:c r="D105" s="22" t="str">
        <x:v>09 · Plugin: lõi P2P</x:v>
      </x:c>
      <x:c r="E105" s="23" t="str">
        <x:v>.md</x:v>
      </x:c>
      <x:c r="F105" s="24" t="n">
        <x:v>12647</x:v>
      </x:c>
      <x:c r="G105" s="23" t="str">
        <x:v>9F080211</x:v>
      </x:c>
      <x:c r="H105" s="22" t="str">
        <x:v>scope: Debug Engine — structured failure analysis, G-error diagnosis, prompt autopsy, iterative fix workflow.; version: 8.4.6-C; Tiêu đề: P2P — DEBUG ENGINE (debug_engine.md) / АЛГОРИТМ РАЗБОРА ПРОВАЛА</x:v>
      </x:c>
      <x:c r="I105" s="22" t="str">
        <x:v>Quy trình khám nghiệm prompt thất bại, chẩn đoán lỗi và sửa lặp có cấu trúc.</x:v>
      </x:c>
      <x:c r="J105" s="22" t="str">
        <x:v>Prompt engineering &amp; QC</x:v>
      </x:c>
      <x:c r="K105" s="22" t="str">
        <x:v>Nguồn vận hành plugin Claude (canonical)</x:v>
      </x:c>
      <x:c r="L105" s="22" t="str">
        <x:v>Cùng chức năng/biến thể triển khai với: 8.4.6-C/for-chat/!debug.md</x:v>
      </x:c>
      <x:c r="M105" s="22" t="str">
        <x:v>source/8.4.6-C/plugin/.claude/skills/p2p/debug_engine.md</x:v>
      </x:c>
      <x:c r="N105" s="22" t="str">
        <x:v>Giữ cả các file gốc trong source snapshot; runtime chỉ kích hoạt một bản canonical để tránh nạp kép.</x:v>
      </x:c>
      <x:c r="O105" s="22" t="str">
        <x:v>Reference on-demand</x:v>
      </x:c>
      <x:c r="P105" s="22" t="str">
        <x:v>.agents/skills/p2p/references/legacy/debug_engine.md</x:v>
      </x:c>
      <x:c r="Q105" s="22" t="str">
        <x:v>KEEP_SOURCE + TRANSLATE_SEMANTICS</x:v>
      </x:c>
      <x:c r="R105" s="22" t="str">
        <x:v>Cao về kiến thức · cần bỏ giả định Claude</x:v>
      </x:c>
      <x:c r="S105" s="22" t="str">
        <x:v>Skill Codex chỉ đọc reference này khi nhiệm vụ cần; không preload toàn bộ</x:v>
      </x:c>
      <x:c r="T105" s="22" t="str">
        <x:v>3 · Lệnh &amp; prompt workflow</x:v>
      </x:c>
      <x:c r="U105" s="22" t="str">
        <x:v>P1 · Cao</x:v>
      </x:c>
      <x:c r="V105" s="22" t="str">
        <x:v>Đã giữ reference; nạp theo nhu cầu</x:v>
      </x:c>
      <x:c r="W105" s="22" t="str">
        <x:v>CRC nguồn khớp; nội dung không mất; reference chỉ nạp khi cần; 3 ca parity và một ca không kích hoạt ngoài ý muốn.</x:v>
      </x:c>
      <x:c r="X105" s="22" t="str">
        <x:v>Không thấy rủi ro riêng ngoài yêu cầu parity và truy vết nguồn. Đích đề xuất ban đầu: skills/p2p/references/debug_engine.md. Đích thực tế trong gói: .agents/skills/p2p/references/legacy/debug_engine.md. Bằng chứng: SOURCE_HASH_VERIFIED; TARGET_PRESENT; ON_DEMAND_LOAD.</x:v>
      </x:c>
      <x:c r="Y105" s="22" t="str">
        <x:v>https://learn.chatgpt.com/docs/build-skills</x:v>
      </x:c>
    </x:row>
    <x:row r="106" ht="68" customHeight="1">
      <x:c r="A106" s="23" t="n">
        <x:v>102</x:v>
      </x:c>
      <x:c r="B106" s="22" t="str">
        <x:v>8.4.6-C/plugin/.claude/skills/p2p/domain_knowledge.md</x:v>
      </x:c>
      <x:c r="C106" s="22" t="str">
        <x:v>domain_knowledge.md</x:v>
      </x:c>
      <x:c r="D106" s="22" t="str">
        <x:v>09 · Plugin: lõi P2P</x:v>
      </x:c>
      <x:c r="E106" s="23" t="str">
        <x:v>.md</x:v>
      </x:c>
      <x:c r="F106" s="24" t="n">
        <x:v>22098</x:v>
      </x:c>
      <x:c r="G106" s="23" t="str">
        <x:v>6EB9EA74</x:v>
      </x:c>
      <x:c r="H106" s="22" t="str">
        <x:v>scope: Domain Knowledge — management protocol + built-in React 19 / TypeScript and Kotlin / Coroutines / KMP reference libraries (ported from v7C.2). Replaces separate domain_knowledge.md and domain_knowledge.md.; version: 8.4.6-C; Tiêu đề: P2P — DOMAIN KNOWLEDGE (domain_knowledge.md) / ЗАЧЕМ DOMAIN KNOWLEDGE</x:v>
      </x:c>
      <x:c r="I106" s="22" t="str">
        <x:v>Khung quản trị tri thức miền cùng thư viện tham chiếu React/TypeScript và Kotlin/KMP.</x:v>
      </x:c>
      <x:c r="J106" s="22" t="str">
        <x:v>Ngữ cảnh người dùng &amp; miền</x:v>
      </x:c>
      <x:c r="K106" s="22" t="str">
        <x:v>Nguồn vận hành plugin Claude (canonical)</x:v>
      </x:c>
      <x:c r="L106" s="22" t="str">
        <x:v>Cùng chức năng/biến thể triển khai với: 8.4.6-C/for-chat/!domain.md</x:v>
      </x:c>
      <x:c r="M106" s="22" t="str">
        <x:v>source/8.4.6-C/plugin/.claude/skills/p2p/domain_knowledge.md</x:v>
      </x:c>
      <x:c r="N106" s="22" t="str">
        <x:v>Giữ cả các file gốc trong source snapshot; runtime chỉ kích hoạt một bản canonical để tránh nạp kép.</x:v>
      </x:c>
      <x:c r="O106" s="22" t="str">
        <x:v>Reference on-demand</x:v>
      </x:c>
      <x:c r="P106" s="22" t="str">
        <x:v>.agents/skills/p2p/references/legacy/domain_knowledge.md</x:v>
      </x:c>
      <x:c r="Q106" s="22" t="str">
        <x:v>KEEP_SOURCE + TRANSLATE_SEMANTICS</x:v>
      </x:c>
      <x:c r="R106" s="22" t="str">
        <x:v>Cao về kiến thức · cần bỏ giả định Claude</x:v>
      </x:c>
      <x:c r="S106" s="22" t="str">
        <x:v>Skill Codex chỉ đọc reference này khi nhiệm vụ cần; không preload toàn bộ</x:v>
      </x:c>
      <x:c r="T106" s="22" t="str">
        <x:v>5 · Mô-đun mở rộng</x:v>
      </x:c>
      <x:c r="U106" s="22" t="str">
        <x:v>P2 · Trung bình</x:v>
      </x:c>
      <x:c r="V106" s="22" t="str">
        <x:v>Đã giữ reference; nạp theo nhu cầu</x:v>
      </x:c>
      <x:c r="W106" s="22" t="str">
        <x:v>CRC nguồn khớp; nội dung không mất; reference chỉ nạp khi cần; 3 ca parity và một ca không kích hoạt ngoài ý muốn.</x:v>
      </x:c>
      <x:c r="X106" s="22" t="str">
        <x:v>Không thấy rủi ro riêng ngoài yêu cầu parity và truy vết nguồn. Đích đề xuất ban đầu: skills/p2p/references/domain_knowledge.md. Đích thực tế trong gói: .agents/skills/p2p/references/legacy/domain_knowledge.md. Bằng chứng: SOURCE_HASH_VERIFIED; TARGET_PRESENT; ON_DEMAND_LOAD.</x:v>
      </x:c>
      <x:c r="Y106" s="22" t="str">
        <x:v>https://learn.chatgpt.com/docs/build-skills</x:v>
      </x:c>
    </x:row>
    <x:row r="107" ht="68" customHeight="1">
      <x:c r="A107" s="23" t="n">
        <x:v>103</x:v>
      </x:c>
      <x:c r="B107" s="22" t="str">
        <x:v>8.4.6-C/plugin/.claude/skills/p2p/exploration_mode.md</x:v>
      </x:c>
      <x:c r="C107" s="22" t="str">
        <x:v>exploration_mode.md</x:v>
      </x:c>
      <x:c r="D107" s="22" t="str">
        <x:v>09 · Plugin: lõi P2P</x:v>
      </x:c>
      <x:c r="E107" s="23" t="str">
        <x:v>.md</x:v>
      </x:c>
      <x:c r="F107" s="24" t="n">
        <x:v>9844</x:v>
      </x:c>
      <x:c r="G107" s="23" t="str">
        <x:v>4C265FA5</x:v>
      </x:c>
      <x:c r="H107" s="22" t="str">
        <x:v>scope: Exploration Mode (Cortex Patch A built-in) — divergent thinking, hypothesis generation, experimental approaches. Safe for brainstorming, not for production decisions without verification.; version: 8.4.6-C; Tiêu đề: P2P — EXPLORATION MODE (exploration_mode.md) / ЧТО ТАКОЕ EXPLORATION MODE</x:v>
      </x:c>
      <x:c r="I107" s="22" t="str">
        <x:v>Chế độ tư duy phân kỳ, tạo giả thuyết và hướng thử nghiệm; cần xác minh trước quyết định thật.</x:v>
      </x:c>
      <x:c r="J107" s="22" t="str">
        <x:v>RAG, reasoning &amp; tối ưu</x:v>
      </x:c>
      <x:c r="K107" s="22" t="str">
        <x:v>Nguồn vận hành plugin Claude (canonical)</x:v>
      </x:c>
      <x:c r="L107" s="22" t="str">
        <x:v>Cùng chức năng/biến thể triển khai với: 8.4.6-C/for-chat/!exploration.md</x:v>
      </x:c>
      <x:c r="M107" s="22" t="str">
        <x:v>source/8.4.6-C/plugin/.claude/skills/p2p/exploration_mode.md</x:v>
      </x:c>
      <x:c r="N107" s="22" t="str">
        <x:v>Giữ cả các file gốc trong source snapshot; runtime chỉ kích hoạt một bản canonical để tránh nạp kép.</x:v>
      </x:c>
      <x:c r="O107" s="22" t="str">
        <x:v>Reference on-demand</x:v>
      </x:c>
      <x:c r="P107" s="22" t="str">
        <x:v>.agents/skills/p2p/references/legacy/exploration_mode.md</x:v>
      </x:c>
      <x:c r="Q107" s="22" t="str">
        <x:v>KEEP_SOURCE + TRANSLATE_SEMANTICS</x:v>
      </x:c>
      <x:c r="R107" s="22" t="str">
        <x:v>Cao về kiến thức · cần bỏ giả định Claude</x:v>
      </x:c>
      <x:c r="S107" s="22" t="str">
        <x:v>Skill Codex chỉ đọc reference này khi nhiệm vụ cần; không preload toàn bộ</x:v>
      </x:c>
      <x:c r="T107" s="22" t="str">
        <x:v>3 · Lệnh &amp; prompt workflow</x:v>
      </x:c>
      <x:c r="U107" s="22" t="str">
        <x:v>P1 · Cao</x:v>
      </x:c>
      <x:c r="V107" s="22" t="str">
        <x:v>Đã giữ reference; nạp theo nhu cầu</x:v>
      </x:c>
      <x:c r="W107" s="22" t="str">
        <x:v>CRC nguồn khớp; nội dung không mất; reference chỉ nạp khi cần; 3 ca parity và một ca không kích hoạt ngoài ý muốn.</x:v>
      </x:c>
      <x:c r="X107" s="22" t="str">
        <x:v>Không thấy rủi ro riêng ngoài yêu cầu parity và truy vết nguồn. Đích đề xuất ban đầu: skills/p2p/references/exploration_mode.md. Đích thực tế trong gói: .agents/skills/p2p/references/legacy/exploration_mode.md. Bằng chứng: SOURCE_HASH_VERIFIED; TARGET_PRESENT; ON_DEMAND_LOAD.</x:v>
      </x:c>
      <x:c r="Y107" s="22" t="str">
        <x:v>https://learn.chatgpt.com/docs/build-skills</x:v>
      </x:c>
    </x:row>
    <x:row r="108" ht="68" customHeight="1">
      <x:c r="A108" s="23" t="n">
        <x:v>104</x:v>
      </x:c>
      <x:c r="B108" s="22" t="str">
        <x:v>8.4.6-C/plugin/.claude/skills/p2p/global_index.md</x:v>
      </x:c>
      <x:c r="C108" s="22" t="str">
        <x:v>global_index.md</x:v>
      </x:c>
      <x:c r="D108" s="22" t="str">
        <x:v>09 · Plugin: lõi P2P</x:v>
      </x:c>
      <x:c r="E108" s="23" t="str">
        <x:v>.md</x:v>
      </x:c>
      <x:c r="F108" s="24" t="n">
        <x:v>8376</x:v>
      </x:c>
      <x:c r="G108" s="23" t="str">
        <x:v>CD0C7653</x:v>
      </x:c>
      <x:c r="H108" s="22" t="str">
        <x:v>scope: P2P master index — all files, load order, tags, module types.; version: 8.4.6-C; Tiêu đề: P2P — МАСТЕР ИНДЕКС (_index.md) / СТРУКТУРА ФАЙЛОВ</x:v>
      </x:c>
      <x:c r="I108" s="22" t="str">
        <x:v>Chỉ mục toàn bộ file, loại module, phụ thuộc và thứ tự nạp.</x:v>
      </x:c>
      <x:c r="J108" s="22" t="str">
        <x:v>Lõi &amp; điều phối</x:v>
      </x:c>
      <x:c r="K108" s="22" t="str">
        <x:v>Nguồn vận hành plugin Claude (canonical)</x:v>
      </x:c>
      <x:c r="L108" s="22" t="str">
        <x:v>Cùng chức năng/biến thể triển khai với: 8.4.6-C/for-chat/_index.md</x:v>
      </x:c>
      <x:c r="M108" s="22" t="str">
        <x:v>source/8.4.6-C/plugin/.claude/skills/p2p/global_index.md</x:v>
      </x:c>
      <x:c r="N108" s="22" t="str">
        <x:v>Giữ cả các file gốc trong source snapshot; runtime chỉ kích hoạt một bản canonical để tránh nạp kép.</x:v>
      </x:c>
      <x:c r="O108" s="22" t="str">
        <x:v>Reference on-demand</x:v>
      </x:c>
      <x:c r="P108" s="22" t="str">
        <x:v>.agents/skills/p2p/references/legacy/global_index.md</x:v>
      </x:c>
      <x:c r="Q108" s="22" t="str">
        <x:v>KEEP_SOURCE + SPLIT_AND_REWRITE</x:v>
      </x:c>
      <x:c r="R108" s="22" t="str">
        <x:v>Trung bình · phải đổi dispatcher/nạp</x:v>
      </x:c>
      <x:c r="S108" s="22" t="str">
        <x:v>Skill Codex chỉ đọc reference này khi nhiệm vụ cần; không preload toàn bộ</x:v>
      </x:c>
      <x:c r="T108" s="22" t="str">
        <x:v>1 · Nền tảng &amp; lõi</x:v>
      </x:c>
      <x:c r="U108" s="22" t="str">
        <x:v>P0 · Bắt buộc</x:v>
      </x:c>
      <x:c r="V108" s="22" t="str">
        <x:v>Đã giữ reference; nạp theo nhu cầu</x:v>
      </x:c>
      <x:c r="W108" s="22" t="str">
        <x:v>CRC nguồn khớp; nội dung không mất; reference chỉ nạp khi cần; 3 ca parity và một ca không kích hoạt ngoài ý muốn.</x:v>
      </x:c>
      <x:c r="X108" s="22" t="str">
        <x:v>Không thấy rủi ro riêng ngoài yêu cầu parity và truy vết nguồn. Đích đề xuất ban đầu: skills/p2p/references/global_index.md. Đích thực tế trong gói: .agents/skills/p2p/references/legacy/global_index.md. Bằng chứng: SOURCE_HASH_VERIFIED; TARGET_PRESENT; ON_DEMAND_LOAD.</x:v>
      </x:c>
      <x:c r="Y108" s="22" t="str">
        <x:v>https://learn.chatgpt.com/docs/build-skills</x:v>
      </x:c>
    </x:row>
    <x:row r="109" ht="68" customHeight="1">
      <x:c r="A109" s="23" t="n">
        <x:v>105</x:v>
      </x:c>
      <x:c r="B109" s="22" t="str">
        <x:v>8.4.6-C/plugin/.claude/skills/p2p/glossary.md</x:v>
      </x:c>
      <x:c r="C109" s="22" t="str">
        <x:v>glossary.md</x:v>
      </x:c>
      <x:c r="D109" s="22" t="str">
        <x:v>09 · Plugin: lõi P2P</x:v>
      </x:c>
      <x:c r="E109" s="23" t="str">
        <x:v>.md</x:v>
      </x:c>
      <x:c r="F109" s="24" t="n">
        <x:v>6152</x:v>
      </x:c>
      <x:c r="G109" s="23" t="str">
        <x:v>A9F39606</x:v>
      </x:c>
      <x:c r="H109" s="22" t="str">
        <x:v>scope: P2P glossary — all terms, acronyms, G-errors quick reference, agent names.; version: 8.4.6-C; Tiêu đề: P2P — ГЛОССАРИЙ (_glossary.md) / ТЕРМИНЫ P2P</x:v>
      </x:c>
      <x:c r="I109" s="22" t="str">
        <x:v>Từ điển thuật ngữ, chữ viết tắt, lỗi G và tên agent.</x:v>
      </x:c>
      <x:c r="J109" s="22" t="str">
        <x:v>Prompt engineering &amp; QC</x:v>
      </x:c>
      <x:c r="K109" s="22" t="str">
        <x:v>Nguồn vận hành plugin Claude (canonical)</x:v>
      </x:c>
      <x:c r="L109" s="22" t="str">
        <x:v>Trùng byte với: 8.4.6-C/for-chat/_glossary.md</x:v>
      </x:c>
      <x:c r="M109" s="22" t="str">
        <x:v>source/8.4.6-C/plugin/.claude/skills/p2p/glossary.md</x:v>
      </x:c>
      <x:c r="N109" s="22" t="str">
        <x:v>Giữ cả các file gốc trong source snapshot; runtime chỉ kích hoạt một bản canonical để tránh nạp kép.</x:v>
      </x:c>
      <x:c r="O109" s="22" t="str">
        <x:v>Reference on-demand</x:v>
      </x:c>
      <x:c r="P109" s="22" t="str">
        <x:v>.agents/skills/p2p/references/legacy/glossary.md</x:v>
      </x:c>
      <x:c r="Q109" s="22" t="str">
        <x:v>KEEP_SOURCE + TRANSLATE_SEMANTICS</x:v>
      </x:c>
      <x:c r="R109" s="22" t="str">
        <x:v>Cao về kiến thức · cần bỏ giả định Claude</x:v>
      </x:c>
      <x:c r="S109" s="22" t="str">
        <x:v>Skill Codex chỉ đọc reference này khi nhiệm vụ cần; không preload toàn bộ</x:v>
      </x:c>
      <x:c r="T109" s="22" t="str">
        <x:v>8 · Tài liệu &amp; phát hành</x:v>
      </x:c>
      <x:c r="U109" s="22" t="str">
        <x:v>P2 · Trung bình</x:v>
      </x:c>
      <x:c r="V109" s="22" t="str">
        <x:v>Đã giữ reference; nạp theo nhu cầu</x:v>
      </x:c>
      <x:c r="W109" s="22" t="str">
        <x:v>CRC nguồn khớp; nội dung không mất; reference chỉ nạp khi cần; 3 ca parity và một ca không kích hoạt ngoài ý muốn.</x:v>
      </x:c>
      <x:c r="X109" s="22" t="str">
        <x:v>Không thấy rủi ro riêng ngoài yêu cầu parity và truy vết nguồn. Đích đề xuất ban đầu: skills/p2p/references/glossary.md. Đích thực tế trong gói: .agents/skills/p2p/references/legacy/glossary.md. Bằng chứng: SOURCE_HASH_VERIFIED; TARGET_PRESENT; ON_DEMAND_LOAD.</x:v>
      </x:c>
      <x:c r="Y109" s="22" t="str">
        <x:v>https://learn.chatgpt.com/docs/build-skills</x:v>
      </x:c>
    </x:row>
    <x:row r="110" ht="68" customHeight="1">
      <x:c r="A110" s="23" t="n">
        <x:v>106</x:v>
      </x:c>
      <x:c r="B110" s="22" t="str">
        <x:v>8.4.6-C/plugin/.claude/skills/p2p/intent_engine.md</x:v>
      </x:c>
      <x:c r="C110" s="22" t="str">
        <x:v>intent_engine.md</x:v>
      </x:c>
      <x:c r="D110" s="22" t="str">
        <x:v>09 · Plugin: lõi P2P</x:v>
      </x:c>
      <x:c r="E110" s="23" t="str">
        <x:v>.md</x:v>
      </x:c>
      <x:c r="F110" s="24" t="n">
        <x:v>13815</x:v>
      </x:c>
      <x:c r="G110" s="23" t="str">
        <x:v>095DE7A9</x:v>
      </x:c>
      <x:c r="H110" s="22" t="str">
        <x:v>scope: Deep intent analysis, anti-pattern detection, tool routing — port of v7C.2 intent_engine.md adapted to v8C.3.; version: 8.4.6-C; Tiêu đề: intent_engine.md — INTENT ENGINE (port from v7C.2) / §1. 9D INTENT EXTRACTION</x:v>
      </x:c>
      <x:c r="I110" s="22" t="str">
        <x:v>Phân tích ý định sâu, phát hiện anti-pattern và chọn tuyến công cụ/chiến lược.</x:v>
      </x:c>
      <x:c r="J110" s="22" t="str">
        <x:v>Prompt engineering &amp; QC</x:v>
      </x:c>
      <x:c r="K110" s="22" t="str">
        <x:v>Nguồn vận hành plugin Claude (canonical)</x:v>
      </x:c>
      <x:c r="L110" s="22" t="str">
        <x:v>Cùng chức năng/biến thể triển khai với: 8.4.6-C/for-chat/!intent.md</x:v>
      </x:c>
      <x:c r="M110" s="22" t="str">
        <x:v>source/8.4.6-C/plugin/.claude/skills/p2p/intent_engine.md</x:v>
      </x:c>
      <x:c r="N110" s="22" t="str">
        <x:v>Giữ cả các file gốc trong source snapshot; runtime chỉ kích hoạt một bản canonical để tránh nạp kép.</x:v>
      </x:c>
      <x:c r="O110" s="22" t="str">
        <x:v>Reference on-demand</x:v>
      </x:c>
      <x:c r="P110" s="22" t="str">
        <x:v>.agents/skills/p2p/references/legacy/intent_engine.md</x:v>
      </x:c>
      <x:c r="Q110" s="22" t="str">
        <x:v>KEEP_SOURCE + TRANSLATE_SEMANTICS</x:v>
      </x:c>
      <x:c r="R110" s="22" t="str">
        <x:v>Cao về kiến thức · cần bỏ giả định Claude</x:v>
      </x:c>
      <x:c r="S110" s="22" t="str">
        <x:v>Skill Codex chỉ đọc reference này khi nhiệm vụ cần; không preload toàn bộ</x:v>
      </x:c>
      <x:c r="T110" s="22" t="str">
        <x:v>3 · Lệnh &amp; prompt workflow</x:v>
      </x:c>
      <x:c r="U110" s="22" t="str">
        <x:v>P1 · Cao</x:v>
      </x:c>
      <x:c r="V110" s="22" t="str">
        <x:v>Đã giữ reference; nạp theo nhu cầu</x:v>
      </x:c>
      <x:c r="W110" s="22" t="str">
        <x:v>CRC nguồn khớp; nội dung không mất; reference chỉ nạp khi cần; 3 ca parity và một ca không kích hoạt ngoài ý muốn.</x:v>
      </x:c>
      <x:c r="X110" s="22" t="str">
        <x:v>Không thấy rủi ro riêng ngoài yêu cầu parity và truy vết nguồn. Đích đề xuất ban đầu: skills/p2p/references/intent_engine.md. Đích thực tế trong gói: .agents/skills/p2p/references/legacy/intent_engine.md. Bằng chứng: SOURCE_HASH_VERIFIED; TARGET_PRESENT; ON_DEMAND_LOAD.</x:v>
      </x:c>
      <x:c r="Y110" s="22" t="str">
        <x:v>https://learn.chatgpt.com/docs/build-skills</x:v>
      </x:c>
    </x:row>
    <x:row r="111" ht="68" customHeight="1">
      <x:c r="A111" s="23" t="n">
        <x:v>107</x:v>
      </x:c>
      <x:c r="B111" s="22" t="str">
        <x:v>8.4.6-C/plugin/.claude/skills/p2p/master.md</x:v>
      </x:c>
      <x:c r="C111" s="22" t="str">
        <x:v>master.md</x:v>
      </x:c>
      <x:c r="D111" s="22" t="str">
        <x:v>09 · Plugin: lõi P2P</x:v>
      </x:c>
      <x:c r="E111" s="23" t="str">
        <x:v>.md</x:v>
      </x:c>
      <x:c r="F111" s="24" t="n">
        <x:v>4216</x:v>
      </x:c>
      <x:c r="G111" s="23" t="str">
        <x:v>9B3730D0</x:v>
      </x:c>
      <x:c r="H111" s="22" t="str">
        <x:v>scope: _master.md — assembly instructions for single-file API deployment (v8C.2). Not for direct use — follow assembly guide.; version: 8.4.6-C; Tiêu đề: P2P — МАСТЕР СБОРКИ (_master.md) / ЗАЧЕМ _master.md</x:v>
      </x:c>
      <x:c r="I111" s="22" t="str">
        <x:v>Hướng dẫn ghép các module thành bản một file cho API/chat.</x:v>
      </x:c>
      <x:c r="J111" s="22" t="str">
        <x:v>Lõi &amp; điều phối</x:v>
      </x:c>
      <x:c r="K111" s="22" t="str">
        <x:v>Nguồn vận hành plugin Claude (canonical)</x:v>
      </x:c>
      <x:c r="L111" s="22" t="str">
        <x:v>Cùng chức năng/biến thể triển khai với: 8.4.6-C/for-chat/_master.md</x:v>
      </x:c>
      <x:c r="M111" s="22" t="str">
        <x:v>source/8.4.6-C/plugin/.claude/skills/p2p/master.md</x:v>
      </x:c>
      <x:c r="N111" s="22" t="str">
        <x:v>Giữ cả các file gốc trong source snapshot; runtime chỉ kích hoạt một bản canonical để tránh nạp kép.</x:v>
      </x:c>
      <x:c r="O111" s="22" t="str">
        <x:v>Tài liệu API/assembly</x:v>
      </x:c>
      <x:c r="P111" s="22" t="str">
        <x:v>.agents/skills/p2p/references/legacy/master.md</x:v>
      </x:c>
      <x:c r="Q111" s="22" t="str">
        <x:v>KEEP_SOURCE + SPLIT_AND_REWRITE</x:v>
      </x:c>
      <x:c r="R111" s="22" t="str">
        <x:v>Trung bình · phải đổi dispatcher/nạp</x:v>
      </x:c>
      <x:c r="S111" s="22" t="str">
        <x:v>Skill Codex chỉ đọc reference này khi nhiệm vụ cần; không preload toàn bộ</x:v>
      </x:c>
      <x:c r="T111" s="22" t="str">
        <x:v>8 · Tài liệu &amp; phát hành</x:v>
      </x:c>
      <x:c r="U111" s="22" t="str">
        <x:v>P2 · Trung bình</x:v>
      </x:c>
      <x:c r="V111" s="22" t="str">
        <x:v>Đã giữ reference; nạp theo nhu cầu</x:v>
      </x:c>
      <x:c r="W111" s="22" t="str">
        <x:v>CRC nguồn khớp; nội dung không mất; reference chỉ nạp khi cần; 3 ca parity và một ca không kích hoạt ngoài ý muốn.</x:v>
      </x:c>
      <x:c r="X111" s="22" t="str">
        <x:v>Một số metadata còn nhắc v8C.2; cần ghi rõ là lịch sử/assembly cũ trước khi dùng. Đích đề xuất ban đầu: docs/api-assembly.md. Đích thực tế trong gói: .agents/skills/p2p/references/legacy/master.md. Bằng chứng: SOURCE_HASH_VERIFIED; TARGET_PRESENT; ON_DEMAND_LOAD.</x:v>
      </x:c>
      <x:c r="Y111" s="22" t="str">
        <x:v>https://learn.chatgpt.com/docs/build-skills</x:v>
      </x:c>
    </x:row>
    <x:row r="112" ht="68" customHeight="1">
      <x:c r="A112" s="23" t="n">
        <x:v>108</x:v>
      </x:c>
      <x:c r="B112" s="22" t="str">
        <x:v>8.4.6-C/plugin/.claude/skills/p2p/memory_bridge.md</x:v>
      </x:c>
      <x:c r="C112" s="22" t="str">
        <x:v>memory_bridge.md</x:v>
      </x:c>
      <x:c r="D112" s="22" t="str">
        <x:v>09 · Plugin: lõi P2P</x:v>
      </x:c>
      <x:c r="E112" s="23" t="str">
        <x:v>.md</x:v>
      </x:c>
      <x:c r="F112" s="24" t="n">
        <x:v>11413</x:v>
      </x:c>
      <x:c r="G112" s="23" t="str">
        <x:v>9829CC41</x:v>
      </x:c>
      <x:c r="H112" s="22" t="str">
        <x:v>scope: Memory Bridge — CAPSULE protocol, cross-session state persistence, context compression for long sessions.; version: 8.4.6-C; Tiêu đề: P2P — MEMORY BRIDGE (memory_bridge.md) / ПРОБЛЕМА ПАМЯТИ LLM</x:v>
      </x:c>
      <x:c r="I112" s="22" t="str">
        <x:v>CAPSULE và cầu nối ngữ cảnh để lưu, nén và khôi phục trạng thái qua phiên.</x:v>
      </x:c>
      <x:c r="J112" s="22" t="str">
        <x:v>Trạng thái, scope &amp; đo lường</x:v>
      </x:c>
      <x:c r="K112" s="22" t="str">
        <x:v>Nguồn vận hành plugin Claude (canonical)</x:v>
      </x:c>
      <x:c r="L112" s="22" t="str">
        <x:v>Cùng chức năng/biến thể triển khai với: 8.4.6-C/for-chat/!memory.md</x:v>
      </x:c>
      <x:c r="M112" s="22" t="str">
        <x:v>source/8.4.6-C/plugin/.claude/skills/p2p/memory_bridge.md</x:v>
      </x:c>
      <x:c r="N112" s="22" t="str">
        <x:v>Giữ cả các file gốc trong source snapshot; runtime chỉ kích hoạt một bản canonical để tránh nạp kép.</x:v>
      </x:c>
      <x:c r="O112" s="22" t="str">
        <x:v>Reference on-demand</x:v>
      </x:c>
      <x:c r="P112" s="22" t="str">
        <x:v>.agents/skills/p2p/references/legacy/memory_bridge.md</x:v>
      </x:c>
      <x:c r="Q112" s="22" t="str">
        <x:v>KEEP_SOURCE + TRANSLATE_SEMANTICS</x:v>
      </x:c>
      <x:c r="R112" s="22" t="str">
        <x:v>Cao về kiến thức · cần bỏ giả định Claude</x:v>
      </x:c>
      <x:c r="S112" s="22" t="str">
        <x:v>Skill Codex chỉ đọc reference này khi nhiệm vụ cần; không preload toàn bộ</x:v>
      </x:c>
      <x:c r="T112" s="22" t="str">
        <x:v>4 · Scope, trạng thái &amp; đào tạo</x:v>
      </x:c>
      <x:c r="U112" s="22" t="str">
        <x:v>P1 · Cao</x:v>
      </x:c>
      <x:c r="V112" s="22" t="str">
        <x:v>Đã giữ reference; nạp theo nhu cầu</x:v>
      </x:c>
      <x:c r="W112" s="22" t="str">
        <x:v>CRC nguồn khớp; nội dung không mất; reference chỉ nạp khi cần; 3 ca parity và một ca không kích hoạt ngoài ý muốn.</x:v>
      </x:c>
      <x:c r="X112" s="22" t="str">
        <x:v>Không hứa lưu bền qua phiên nếu chưa có storage/connector; cần nêu rõ phạm vi bộ nhớ. Đích đề xuất ban đầu: skills/p2p/references/memory_bridge.md. Đích thực tế trong gói: .agents/skills/p2p/references/legacy/memory_bridge.md. Bằng chứng: SOURCE_HASH_VERIFIED; TARGET_PRESENT; ON_DEMAND_LOAD.</x:v>
      </x:c>
      <x:c r="Y112" s="22" t="str">
        <x:v>https://learn.chatgpt.com/docs/build-skills</x:v>
      </x:c>
    </x:row>
    <x:row r="113" ht="68" customHeight="1">
      <x:c r="A113" s="23" t="n">
        <x:v>109</x:v>
      </x:c>
      <x:c r="B113" s="22" t="str">
        <x:v>8.4.6-C/plugin/.claude/skills/p2p/mentor_method.md</x:v>
      </x:c>
      <x:c r="C113" s="22" t="str">
        <x:v>mentor_method.md</x:v>
      </x:c>
      <x:c r="D113" s="22" t="str">
        <x:v>09 · Plugin: lõi P2P</x:v>
      </x:c>
      <x:c r="E113" s="23" t="str">
        <x:v>.md</x:v>
      </x:c>
      <x:c r="F113" s="24" t="n">
        <x:v>13826</x:v>
      </x:c>
      <x:c r="G113" s="23" t="str">
        <x:v>3840E346</x:v>
      </x:c>
      <x:c r="H113" s="22" t="str">
        <x:v>scope: Mentor Method — adaptive teaching, Socratic dialogue, knowledge assessment, progressive disclosure, 3 stages, showcases, minimal start, implementation checklist, navigator.; version: 8.4.6-C; Tiêu đề: P2P — MENTOR METHOD (mentor_method.md) / MENTOR MODE ACTIVATION</x:v>
      </x:c>
      <x:c r="I113" s="22" t="str">
        <x:v>Phương pháp hướng dẫn thích ứng, đối thoại Socrates và tiết lộ kiến thức theo từng bước.</x:v>
      </x:c>
      <x:c r="J113" s="22" t="str">
        <x:v>Đào tạo &amp; hướng dẫn</x:v>
      </x:c>
      <x:c r="K113" s="22" t="str">
        <x:v>Nguồn vận hành plugin Claude (canonical)</x:v>
      </x:c>
      <x:c r="L113" s="22" t="str">
        <x:v>Cùng chức năng/biến thể triển khai với: 8.4.6-C/for-chat/!mentor.md</x:v>
      </x:c>
      <x:c r="M113" s="22" t="str">
        <x:v>source/8.4.6-C/plugin/.claude/skills/p2p/mentor_method.md</x:v>
      </x:c>
      <x:c r="N113" s="22" t="str">
        <x:v>Giữ cả các file gốc trong source snapshot; runtime chỉ kích hoạt một bản canonical để tránh nạp kép.</x:v>
      </x:c>
      <x:c r="O113" s="22" t="str">
        <x:v>Reference on-demand</x:v>
      </x:c>
      <x:c r="P113" s="22" t="str">
        <x:v>.agents/skills/p2p/references/legacy/mentor_method.md</x:v>
      </x:c>
      <x:c r="Q113" s="22" t="str">
        <x:v>KEEP_SOURCE + TRANSLATE_SEMANTICS</x:v>
      </x:c>
      <x:c r="R113" s="22" t="str">
        <x:v>Cao về kiến thức · cần bỏ giả định Claude</x:v>
      </x:c>
      <x:c r="S113" s="22" t="str">
        <x:v>Skill Codex chỉ đọc reference này khi nhiệm vụ cần; không preload toàn bộ</x:v>
      </x:c>
      <x:c r="T113" s="22" t="str">
        <x:v>4 · Scope, trạng thái &amp; đào tạo</x:v>
      </x:c>
      <x:c r="U113" s="22" t="str">
        <x:v>P1 · Cao</x:v>
      </x:c>
      <x:c r="V113" s="22" t="str">
        <x:v>Đã giữ reference; nạp theo nhu cầu</x:v>
      </x:c>
      <x:c r="W113" s="22" t="str">
        <x:v>CRC nguồn khớp; nội dung không mất; reference chỉ nạp khi cần; 3 ca parity và một ca không kích hoạt ngoài ý muốn.</x:v>
      </x:c>
      <x:c r="X113" s="22" t="str">
        <x:v>Không thấy rủi ro riêng ngoài yêu cầu parity và truy vết nguồn. Đích đề xuất ban đầu: skills/p2p/references/mentor_method.md. Đích thực tế trong gói: .agents/skills/p2p/references/legacy/mentor_method.md. Bằng chứng: SOURCE_HASH_VERIFIED; TARGET_PRESENT; ON_DEMAND_LOAD.</x:v>
      </x:c>
      <x:c r="Y113" s="22" t="str">
        <x:v>https://learn.chatgpt.com/docs/build-skills</x:v>
      </x:c>
    </x:row>
    <x:row r="114" ht="68" customHeight="1">
      <x:c r="A114" s="23" t="n">
        <x:v>110</x:v>
      </x:c>
      <x:c r="B114" s="22" t="str">
        <x:v>8.4.6-C/plugin/.claude/skills/p2p/optimization.md</x:v>
      </x:c>
      <x:c r="C114" s="22" t="str">
        <x:v>optimization.md</x:v>
      </x:c>
      <x:c r="D114" s="22" t="str">
        <x:v>09 · Plugin: lõi P2P</x:v>
      </x:c>
      <x:c r="E114" s="23" t="str">
        <x:v>.md</x:v>
      </x:c>
      <x:c r="F114" s="24" t="n">
        <x:v>9424</x:v>
      </x:c>
      <x:c r="G114" s="23" t="str">
        <x:v>ECA29788</x:v>
      </x:c>
      <x:c r="H114" s="22" t="str">
        <x:v>scope: Автоматическая оптимизация промптов для P2P — APO, OPRO, EvoPrompt, GEPA, MASPO, итеративное улучшение. Загружается по триггеру или MODULE_OPTIMIZATION=true.; version: 8.4.6-C; Tiêu đề: P2P — OPTIMIZATION MODULE (optimization.md) / ТЕХНИКИ ОПТИМИЗАЦИИ (интегрированные)</x:v>
      </x:c>
      <x:c r="I114" s="22" t="str">
        <x:v>Các vòng tối ưu prompt tự động và tiến hóa như APO, OPRO, EvoPrompt, GEPA, MASPO.</x:v>
      </x:c>
      <x:c r="J114" s="22" t="str">
        <x:v>RAG, reasoning &amp; tối ưu</x:v>
      </x:c>
      <x:c r="K114" s="22" t="str">
        <x:v>Nguồn vận hành plugin Claude (canonical)</x:v>
      </x:c>
      <x:c r="L114" s="22" t="str">
        <x:v>Cùng chức năng/biến thể triển khai với: 8.4.6-C/for-chat/!optimization.md</x:v>
      </x:c>
      <x:c r="M114" s="22" t="str">
        <x:v>source/8.4.6-C/plugin/.claude/skills/p2p/optimization.md</x:v>
      </x:c>
      <x:c r="N114" s="22" t="str">
        <x:v>Giữ cả các file gốc trong source snapshot; runtime chỉ kích hoạt một bản canonical để tránh nạp kép.</x:v>
      </x:c>
      <x:c r="O114" s="22" t="str">
        <x:v>Reference on-demand</x:v>
      </x:c>
      <x:c r="P114" s="22" t="str">
        <x:v>.agents/skills/p2p/references/legacy/optimization.md</x:v>
      </x:c>
      <x:c r="Q114" s="22" t="str">
        <x:v>KEEP_SOURCE + TRANSLATE_SEMANTICS</x:v>
      </x:c>
      <x:c r="R114" s="22" t="str">
        <x:v>Cao về kiến thức · cần bỏ giả định Claude</x:v>
      </x:c>
      <x:c r="S114" s="22" t="str">
        <x:v>Skill Codex chỉ đọc reference này khi nhiệm vụ cần; không preload toàn bộ</x:v>
      </x:c>
      <x:c r="T114" s="22" t="str">
        <x:v>5 · Mô-đun mở rộng</x:v>
      </x:c>
      <x:c r="U114" s="22" t="str">
        <x:v>P2 · Trung bình</x:v>
      </x:c>
      <x:c r="V114" s="22" t="str">
        <x:v>Đã giữ reference; nạp theo nhu cầu</x:v>
      </x:c>
      <x:c r="W114" s="22" t="str">
        <x:v>CRC nguồn khớp; nội dung không mất; reference chỉ nạp khi cần; 3 ca parity và một ca không kích hoạt ngoài ý muốn.</x:v>
      </x:c>
      <x:c r="X114" s="22" t="str">
        <x:v>Không thấy rủi ro riêng ngoài yêu cầu parity và truy vết nguồn. Đích đề xuất ban đầu: skills/p2p/references/optimization.md. Đích thực tế trong gói: .agents/skills/p2p/references/legacy/optimization.md. Bằng chứng: SOURCE_HASH_VERIFIED; TARGET_PRESENT; ON_DEMAND_LOAD.</x:v>
      </x:c>
      <x:c r="Y114" s="22" t="str">
        <x:v>https://learn.chatgpt.com/docs/build-skills</x:v>
      </x:c>
    </x:row>
    <x:row r="115" ht="68" customHeight="1">
      <x:c r="A115" s="23" t="n">
        <x:v>111</x:v>
      </x:c>
      <x:c r="B115" s="22" t="str">
        <x:v>8.4.6-C/plugin/.claude/skills/p2p/p2p.config.md</x:v>
      </x:c>
      <x:c r="C115" s="22" t="str">
        <x:v>p2p.config.md</x:v>
      </x:c>
      <x:c r="D115" s="22" t="str">
        <x:v>09 · Plugin: lõi P2P</x:v>
      </x:c>
      <x:c r="E115" s="23" t="str">
        <x:v>.md</x:v>
      </x:c>
      <x:c r="F115" s="24" t="n">
        <x:v>2028</x:v>
      </x:c>
      <x:c r="G115" s="23" t="str">
        <x:v>EA9ED561</x:v>
      </x:c>
      <x:c r="H115" s="22" t="str">
        <x:v>scope: User configuration file for P2P v8C.3. Copy to project root and fill in.; version: 8.4.6-C; Tiêu đề: P2P — КОНФИГУРАЦИЯ ПОЛЬЗОВАТЕЛЯ / PROJECT_CARD</x:v>
      </x:c>
      <x:c r="I115" s="22" t="str">
        <x:v>Mẫu PROJECT_CARD và cấu hình người dùng/dự án cho P2P.</x:v>
      </x:c>
      <x:c r="J115" s="22" t="str">
        <x:v>Trạng thái, scope &amp; đo lường</x:v>
      </x:c>
      <x:c r="K115" s="22" t="str">
        <x:v>Nguồn vận hành plugin Claude (canonical)</x:v>
      </x:c>
      <x:c r="L115" s="22" t="str">
        <x:v>Không phát hiện cặp tương ứng rõ ràng.</x:v>
      </x:c>
      <x:c r="M115" s="22" t="str">
        <x:v>source/8.4.6-C/plugin/.claude/skills/p2p/p2p.config.md</x:v>
      </x:c>
      <x:c r="N115" s="22" t="str">
        <x:v>Giữ nguyên byte trong source/8.4.6-C; bản Codex ghi đường dẫn nguồn và CRC.</x:v>
      </x:c>
      <x:c r="O115" s="22" t="str">
        <x:v>Mẫu cấu hình dự án</x:v>
      </x:c>
      <x:c r="P115" s="22" t="str">
        <x:v>.agents/skills/p2p/assets/p2p-project.template.md</x:v>
      </x:c>
      <x:c r="Q115" s="22" t="str">
        <x:v>KEEP_SOURCE + SPLIT_AND_REWRITE</x:v>
      </x:c>
      <x:c r="R115" s="22" t="str">
        <x:v>Trung bình · phải đổi dispatcher/nạp</x:v>
      </x:c>
      <x:c r="S115" s="22" t="str">
        <x:v>Reference được skill nạp on-demand</x:v>
      </x:c>
      <x:c r="T115" s="22" t="str">
        <x:v>1 · Nền tảng &amp; lõi</x:v>
      </x:c>
      <x:c r="U115" s="22" t="str">
        <x:v>P0 · Bắt buộc</x:v>
      </x:c>
      <x:c r="V115" s="22" t="str">
        <x:v>Đã chuyển và kiểm tra cấu trúc</x:v>
      </x:c>
      <x:c r="W115" s="22" t="str">
        <x:v>CRC nguồn khớp; nội dung không mất; reference chỉ nạp khi cần; 3 ca parity và một ca không kích hoạt ngoài ý muốn.</x:v>
      </x:c>
      <x:c r="X115" s="22" t="str">
        <x:v>Không thấy rủi ro riêng ngoài yêu cầu parity và truy vết nguồn. Đích đề xuất ban đầu: skills/p2p/assets/p2p-project.template.md. Đích thực tế trong gói: .agents/skills/p2p/assets/p2p-project.template.md. Bằng chứng: TARGET_PRESENT; SKILL_VALIDATOR_PASS.</x:v>
      </x:c>
      <x:c r="Y115" s="22" t="str">
        <x:v>https://learn.chatgpt.com/docs/build-skills</x:v>
      </x:c>
    </x:row>
    <x:row r="116" ht="68" customHeight="1">
      <x:c r="A116" s="23" t="n">
        <x:v>112</x:v>
      </x:c>
      <x:c r="B116" s="22" t="str">
        <x:v>8.4.6-C/plugin/.claude/skills/p2p/preloader.md</x:v>
      </x:c>
      <x:c r="C116" s="22" t="str">
        <x:v>preloader.md</x:v>
      </x:c>
      <x:c r="D116" s="22" t="str">
        <x:v>09 · Plugin: lõi P2P</x:v>
      </x:c>
      <x:c r="E116" s="23" t="str">
        <x:v>.md</x:v>
      </x:c>
      <x:c r="F116" s="24" t="n">
        <x:v>10942</x:v>
      </x:c>
      <x:c r="G116" s="23" t="str">
        <x:v>E13DCC1A</x:v>
      </x:c>
      <x:c r="H116" s="22" t="str">
        <x:v>scope: P2P entry point — USER_CONTEXT detection, PROJECT_CARD, TRI_MODE_BRIDGE v3 environment detection, load order declaration. Always loaded first.; version: 8.4.6-C; Tiêu đề: P2P — PRELOADER (_preloader.md) / ШАГ 1 — ОПРЕДЕЛЕНИЕ СРЕДЫ (TRI_MODE_BRIDGE v3)</x:v>
      </x:c>
      <x:c r="I116" s="22" t="str">
        <x:v>Điểm vào: nhận diện môi trường, đọc cấu hình người dùng/dự án và khai báo thứ tự nạp.</x:v>
      </x:c>
      <x:c r="J116" s="22" t="str">
        <x:v>Lõi &amp; điều phối</x:v>
      </x:c>
      <x:c r="K116" s="22" t="str">
        <x:v>Nguồn vận hành plugin Claude (canonical)</x:v>
      </x:c>
      <x:c r="L116" s="22" t="str">
        <x:v>Cùng chức năng/biến thể triển khai với: 8.4.6-C/for-chat/_preloader.md</x:v>
      </x:c>
      <x:c r="M116" s="22" t="str">
        <x:v>source/8.4.6-C/plugin/.claude/skills/p2p/preloader.md</x:v>
      </x:c>
      <x:c r="N116" s="22" t="str">
        <x:v>Giữ cả các file gốc trong source snapshot; runtime chỉ kích hoạt một bản canonical để tránh nạp kép.</x:v>
      </x:c>
      <x:c r="O116" s="22" t="str">
        <x:v>Reference on-demand</x:v>
      </x:c>
      <x:c r="P116" s="22" t="str">
        <x:v>.agents/skills/p2p/references/legacy/preloader.md</x:v>
      </x:c>
      <x:c r="Q116" s="22" t="str">
        <x:v>KEEP_SOURCE + SPLIT_AND_REWRITE</x:v>
      </x:c>
      <x:c r="R116" s="22" t="str">
        <x:v>Trung bình · phải đổi dispatcher/nạp</x:v>
      </x:c>
      <x:c r="S116" s="22" t="str">
        <x:v>Skill Codex chỉ đọc reference này khi nhiệm vụ cần; không preload toàn bộ</x:v>
      </x:c>
      <x:c r="T116" s="22" t="str">
        <x:v>1 · Nền tảng &amp; lõi</x:v>
      </x:c>
      <x:c r="U116" s="22" t="str">
        <x:v>P0 · Bắt buộc</x:v>
      </x:c>
      <x:c r="V116" s="22" t="str">
        <x:v>Đã giữ reference; nạp theo nhu cầu</x:v>
      </x:c>
      <x:c r="W116" s="22" t="str">
        <x:v>CRC nguồn khớp; nội dung không mất; reference chỉ nạp khi cần; 3 ca parity và một ca không kích hoạt ngoài ý muốn.</x:v>
      </x:c>
      <x:c r="X116" s="22" t="str">
        <x:v>Không thấy rủi ro riêng ngoài yêu cầu parity và truy vết nguồn. Đích đề xuất ban đầu: skills/p2p/references/preloader.md. Đích thực tế trong gói: .agents/skills/p2p/references/legacy/preloader.md. Bằng chứng: SOURCE_HASH_VERIFIED; TARGET_PRESENT; ON_DEMAND_LOAD.</x:v>
      </x:c>
      <x:c r="Y116" s="22" t="str">
        <x:v>https://learn.chatgpt.com/docs/build-skills</x:v>
      </x:c>
    </x:row>
    <x:row r="117" ht="68" customHeight="1">
      <x:c r="A117" s="23" t="n">
        <x:v>113</x:v>
      </x:c>
      <x:c r="B117" s="22" t="str">
        <x:v>8.4.6-C/plugin/.claude/skills/p2p/rag.md</x:v>
      </x:c>
      <x:c r="C117" s="22" t="str">
        <x:v>rag.md</x:v>
      </x:c>
      <x:c r="D117" s="22" t="str">
        <x:v>09 · Plugin: lõi P2P</x:v>
      </x:c>
      <x:c r="E117" s="23" t="str">
        <x:v>.md</x:v>
      </x:c>
      <x:c r="F117" s="24" t="n">
        <x:v>5972</x:v>
      </x:c>
      <x:c r="G117" s="23" t="str">
        <x:v>1CA4C937</x:v>
      </x:c>
      <x:c r="H117" s="22" t="str">
        <x:v>scope: RAG техники для P2P — RAPTOR, векторный поиск, адаптивный ретривал. Загружается по триггеру или MODULE_RAG=true.; version: 8.4.6-C; Tiêu đề: P2P — RAG MODULE (rag.md) / ТЕХНИКИ RAG (интегрированные)</x:v>
      </x:c>
      <x:c r="I117" s="22" t="str">
        <x:v>Kỹ thuật RAG: truy hồi thích ứng, tìm kiếm vector, RAPTOR và grounding.</x:v>
      </x:c>
      <x:c r="J117" s="22" t="str">
        <x:v>RAG, reasoning &amp; tối ưu</x:v>
      </x:c>
      <x:c r="K117" s="22" t="str">
        <x:v>Nguồn vận hành plugin Claude (canonical)</x:v>
      </x:c>
      <x:c r="L117" s="22" t="str">
        <x:v>Cùng chức năng/biến thể triển khai với: 8.4.6-C/for-chat/!rag.md</x:v>
      </x:c>
      <x:c r="M117" s="22" t="str">
        <x:v>source/8.4.6-C/plugin/.claude/skills/p2p/rag.md</x:v>
      </x:c>
      <x:c r="N117" s="22" t="str">
        <x:v>Giữ cả các file gốc trong source snapshot; runtime chỉ kích hoạt một bản canonical để tránh nạp kép.</x:v>
      </x:c>
      <x:c r="O117" s="22" t="str">
        <x:v>Reference on-demand</x:v>
      </x:c>
      <x:c r="P117" s="22" t="str">
        <x:v>.agents/skills/p2p/references/legacy/rag.md</x:v>
      </x:c>
      <x:c r="Q117" s="22" t="str">
        <x:v>KEEP_SOURCE + TRANSLATE_SEMANTICS</x:v>
      </x:c>
      <x:c r="R117" s="22" t="str">
        <x:v>Cao về kiến thức · cần bỏ giả định Claude</x:v>
      </x:c>
      <x:c r="S117" s="22" t="str">
        <x:v>Skill Codex chỉ đọc reference này khi nhiệm vụ cần; không preload toàn bộ</x:v>
      </x:c>
      <x:c r="T117" s="22" t="str">
        <x:v>5 · Mô-đun mở rộng</x:v>
      </x:c>
      <x:c r="U117" s="22" t="str">
        <x:v>P2 · Trung bình</x:v>
      </x:c>
      <x:c r="V117" s="22" t="str">
        <x:v>Đã giữ reference; nạp theo nhu cầu</x:v>
      </x:c>
      <x:c r="W117" s="22" t="str">
        <x:v>CRC nguồn khớp; nội dung không mất; reference chỉ nạp khi cần; 3 ca parity và một ca không kích hoạt ngoài ý muốn.</x:v>
      </x:c>
      <x:c r="X117" s="22" t="str">
        <x:v>Không thấy rủi ro riêng ngoài yêu cầu parity và truy vết nguồn. Đích đề xuất ban đầu: skills/p2p/references/rag.md. Đích thực tế trong gói: .agents/skills/p2p/references/legacy/rag.md. Bằng chứng: SOURCE_HASH_VERIFIED; TARGET_PRESENT; ON_DEMAND_LOAD.</x:v>
      </x:c>
      <x:c r="Y117" s="22" t="str">
        <x:v>https://learn.chatgpt.com/docs/build-skills</x:v>
      </x:c>
    </x:row>
    <x:row r="118" ht="68" customHeight="1">
      <x:c r="A118" s="23" t="n">
        <x:v>114</x:v>
      </x:c>
      <x:c r="B118" s="22" t="str">
        <x:v>8.4.6-C/plugin/.claude/skills/p2p/reasoning.md</x:v>
      </x:c>
      <x:c r="C118" s="22" t="str">
        <x:v>reasoning.md</x:v>
      </x:c>
      <x:c r="D118" s="22" t="str">
        <x:v>09 · Plugin: lõi P2P</x:v>
      </x:c>
      <x:c r="E118" s="23" t="str">
        <x:v>.md</x:v>
      </x:c>
      <x:c r="F118" s="24" t="n">
        <x:v>7335</x:v>
      </x:c>
      <x:c r="G118" s="23" t="str">
        <x:v>D3C8ED31</x:v>
      </x:c>
      <x:c r="H118" s="22" t="str">
        <x:v>scope: Расширенные техники reasoning для P2P — TTS, Self-Consistency, MCTS, rStar-Math, критические цепочки, Context-Grounding CoT. Загружается по триггеру или MODULE_REASONING=true.; version: 8.4.6-C; Tiêu đề: P2P — REASONING MODULE (reasoning.md) / ТЕХНИКИ REASONING (интегрированные)</x:v>
      </x:c>
      <x:c r="I118" s="22" t="str">
        <x:v>Bộ kỹ thuật reasoning nâng cao, tự nhất quán, tìm kiếm cây và chuỗi phê bình.</x:v>
      </x:c>
      <x:c r="J118" s="22" t="str">
        <x:v>RAG, reasoning &amp; tối ưu</x:v>
      </x:c>
      <x:c r="K118" s="22" t="str">
        <x:v>Nguồn vận hành plugin Claude (canonical)</x:v>
      </x:c>
      <x:c r="L118" s="22" t="str">
        <x:v>Cùng chức năng/biến thể triển khai với: 8.4.6-C/for-chat/!reasoning.md</x:v>
      </x:c>
      <x:c r="M118" s="22" t="str">
        <x:v>source/8.4.6-C/plugin/.claude/skills/p2p/reasoning.md</x:v>
      </x:c>
      <x:c r="N118" s="22" t="str">
        <x:v>Giữ cả các file gốc trong source snapshot; runtime chỉ kích hoạt một bản canonical để tránh nạp kép.</x:v>
      </x:c>
      <x:c r="O118" s="22" t="str">
        <x:v>Reference on-demand</x:v>
      </x:c>
      <x:c r="P118" s="22" t="str">
        <x:v>.agents/skills/p2p/references/legacy/reasoning.md</x:v>
      </x:c>
      <x:c r="Q118" s="22" t="str">
        <x:v>KEEP_SOURCE + TRANSLATE_SEMANTICS</x:v>
      </x:c>
      <x:c r="R118" s="22" t="str">
        <x:v>Cao về kiến thức · cần bỏ giả định Claude</x:v>
      </x:c>
      <x:c r="S118" s="22" t="str">
        <x:v>Skill Codex chỉ đọc reference này khi nhiệm vụ cần; không preload toàn bộ</x:v>
      </x:c>
      <x:c r="T118" s="22" t="str">
        <x:v>5 · Mô-đun mở rộng</x:v>
      </x:c>
      <x:c r="U118" s="22" t="str">
        <x:v>P2 · Trung bình</x:v>
      </x:c>
      <x:c r="V118" s="22" t="str">
        <x:v>Đã giữ reference; nạp theo nhu cầu</x:v>
      </x:c>
      <x:c r="W118" s="22" t="str">
        <x:v>CRC nguồn khớp; nội dung không mất; reference chỉ nạp khi cần; 3 ca parity và một ca không kích hoạt ngoài ý muốn.</x:v>
      </x:c>
      <x:c r="X118" s="22" t="str">
        <x:v>Không thấy rủi ro riêng ngoài yêu cầu parity và truy vết nguồn. Đích đề xuất ban đầu: skills/p2p/references/reasoning.md. Đích thực tế trong gói: .agents/skills/p2p/references/legacy/reasoning.md. Bằng chứng: SOURCE_HASH_VERIFIED; TARGET_PRESENT; ON_DEMAND_LOAD.</x:v>
      </x:c>
      <x:c r="Y118" s="22" t="str">
        <x:v>https://learn.chatgpt.com/docs/build-skills</x:v>
      </x:c>
    </x:row>
    <x:row r="119" ht="68" customHeight="1">
      <x:c r="A119" s="23" t="n">
        <x:v>115</x:v>
      </x:c>
      <x:c r="B119" s="22" t="str">
        <x:v>8.4.6-C/plugin/.claude/skills/p2p/routing.md</x:v>
      </x:c>
      <x:c r="C119" s="22" t="str">
        <x:v>routing.md</x:v>
      </x:c>
      <x:c r="D119" s="22" t="str">
        <x:v>09 · Plugin: lõi P2P</x:v>
      </x:c>
      <x:c r="E119" s="23" t="str">
        <x:v>.md</x:v>
      </x:c>
      <x:c r="F119" s="24" t="n">
        <x:v>6814</x:v>
      </x:c>
      <x:c r="G119" s="23" t="str">
        <x:v>28433D4E</x:v>
      </x:c>
      <x:c r="H119" s="22" t="str">
        <x:v>scope: Умная маршрутизация по задаче — выбор оптимальной модели, cost-aware routing, cascade routing. Загружается по триггеру или MODULE_ROUTING=true.; version: 8.4.6-C; Tiêu đề: P2P — ROUTING MODULE (routing.md) / ТЕХНИКИ ROUTING (интегрированные)</x:v>
      </x:c>
      <x:c r="I119" s="22" t="str">
        <x:v>Chọn mô hình/tuyến xử lý theo loại việc, chất lượng, chi phí và fallback.</x:v>
      </x:c>
      <x:c r="J119" s="22" t="str">
        <x:v>RAG, reasoning &amp; tối ưu</x:v>
      </x:c>
      <x:c r="K119" s="22" t="str">
        <x:v>Nguồn vận hành plugin Claude (canonical)</x:v>
      </x:c>
      <x:c r="L119" s="22" t="str">
        <x:v>Cùng chức năng/biến thể triển khai với: 8.4.6-C/for-chat/!routing.md</x:v>
      </x:c>
      <x:c r="M119" s="22" t="str">
        <x:v>source/8.4.6-C/plugin/.claude/skills/p2p/routing.md</x:v>
      </x:c>
      <x:c r="N119" s="22" t="str">
        <x:v>Giữ cả các file gốc trong source snapshot; runtime chỉ kích hoạt một bản canonical để tránh nạp kép.</x:v>
      </x:c>
      <x:c r="O119" s="22" t="str">
        <x:v>Reference on-demand</x:v>
      </x:c>
      <x:c r="P119" s="22" t="str">
        <x:v>.agents/skills/p2p/references/legacy/routing.md</x:v>
      </x:c>
      <x:c r="Q119" s="22" t="str">
        <x:v>KEEP_SOURCE + TRANSLATE_SEMANTICS</x:v>
      </x:c>
      <x:c r="R119" s="22" t="str">
        <x:v>Cao về kiến thức · cần bỏ giả định Claude</x:v>
      </x:c>
      <x:c r="S119" s="22" t="str">
        <x:v>Skill Codex chỉ đọc reference này khi nhiệm vụ cần; không preload toàn bộ</x:v>
      </x:c>
      <x:c r="T119" s="22" t="str">
        <x:v>5 · Mô-đun mở rộng</x:v>
      </x:c>
      <x:c r="U119" s="22" t="str">
        <x:v>P2 · Trung bình</x:v>
      </x:c>
      <x:c r="V119" s="22" t="str">
        <x:v>Đã giữ reference; nạp theo nhu cầu</x:v>
      </x:c>
      <x:c r="W119" s="22" t="str">
        <x:v>CRC nguồn khớp; nội dung không mất; reference chỉ nạp khi cần; 3 ca parity và một ca không kích hoạt ngoài ý muốn.</x:v>
      </x:c>
      <x:c r="X119" s="22" t="str">
        <x:v>Có giả định Claude/XML/model-specific; cần giữ ý nghĩa nhưng viết lại cơ chế cho Codex. Đích đề xuất ban đầu: skills/p2p/references/routing.md. Đích thực tế trong gói: .agents/skills/p2p/references/legacy/routing.md. Bằng chứng: SOURCE_HASH_VERIFIED; TARGET_PRESENT; ON_DEMAND_LOAD.</x:v>
      </x:c>
      <x:c r="Y119" s="22" t="str">
        <x:v>https://learn.chatgpt.com/docs/extend/mcp</x:v>
      </x:c>
    </x:row>
    <x:row r="120" ht="68" customHeight="1">
      <x:c r="A120" s="23" t="n">
        <x:v>116</x:v>
      </x:c>
      <x:c r="B120" s="22" t="str">
        <x:v>8.4.6-C/plugin/.claude/skills/p2p/sandbox_user.md</x:v>
      </x:c>
      <x:c r="C120" s="22" t="str">
        <x:v>sandbox_user.md</x:v>
      </x:c>
      <x:c r="D120" s="22" t="str">
        <x:v>09 · Plugin: lõi P2P</x:v>
      </x:c>
      <x:c r="E120" s="23" t="str">
        <x:v>.md</x:v>
      </x:c>
      <x:c r="F120" s="24" t="n">
        <x:v>5360</x:v>
      </x:c>
      <x:c r="G120" s="23" t="str">
        <x:v>AC55343F</x:v>
      </x:c>
      <x:c r="H120" s="22" t="str">
        <x:v>version: 8.4.6-C; Tiêu đề: sandbox_user.md — User Editable Sandbox (v8C.3) / SANDBOX BLOCK (edit this, leave the rest alone)</x:v>
      </x:c>
      <x:c r="I120" s="22" t="str">
        <x:v>Khối cấu hình người dùng được phép chỉnh riêng mà không làm hỏng phần lõi.</x:v>
      </x:c>
      <x:c r="J120" s="22" t="str">
        <x:v>An toàn &amp; quyền kiểm soát</x:v>
      </x:c>
      <x:c r="K120" s="22" t="str">
        <x:v>Nguồn vận hành plugin Claude (canonical)</x:v>
      </x:c>
      <x:c r="L120" s="22" t="str">
        <x:v>Cùng chức năng/biến thể triển khai với: 8.4.6-C/for-chat/!sandbox.md</x:v>
      </x:c>
      <x:c r="M120" s="22" t="str">
        <x:v>source/8.4.6-C/plugin/.claude/skills/p2p/sandbox_user.md</x:v>
      </x:c>
      <x:c r="N120" s="22" t="str">
        <x:v>Giữ cả các file gốc trong source snapshot; runtime chỉ kích hoạt một bản canonical để tránh nạp kép.</x:v>
      </x:c>
      <x:c r="O120" s="22" t="str">
        <x:v>Reference on-demand</x:v>
      </x:c>
      <x:c r="P120" s="22" t="str">
        <x:v>.agents/skills/p2p/references/legacy/sandbox_user.md</x:v>
      </x:c>
      <x:c r="Q120" s="22" t="str">
        <x:v>KEEP_SOURCE + TRANSLATE_SEMANTICS</x:v>
      </x:c>
      <x:c r="R120" s="22" t="str">
        <x:v>Cao về kiến thức · cần bỏ giả định Claude</x:v>
      </x:c>
      <x:c r="S120" s="22" t="str">
        <x:v>Skill Codex chỉ đọc reference này khi nhiệm vụ cần; không preload toàn bộ</x:v>
      </x:c>
      <x:c r="T120" s="22" t="str">
        <x:v>5 · Mô-đun mở rộng</x:v>
      </x:c>
      <x:c r="U120" s="22" t="str">
        <x:v>P2 · Trung bình</x:v>
      </x:c>
      <x:c r="V120" s="22" t="str">
        <x:v>Đã giữ reference; nạp theo nhu cầu</x:v>
      </x:c>
      <x:c r="W120" s="22" t="str">
        <x:v>CRC nguồn khớp; nội dung không mất; reference chỉ nạp khi cần; 3 ca parity và một ca không kích hoạt ngoài ý muốn.</x:v>
      </x:c>
      <x:c r="X120" s="22" t="str">
        <x:v>Không thấy rủi ro riêng ngoài yêu cầu parity và truy vết nguồn. Đích đề xuất ban đầu: skills/p2p/references/sandbox_user.md. Đích thực tế trong gói: .agents/skills/p2p/references/legacy/sandbox_user.md. Bằng chứng: SOURCE_HASH_VERIFIED; TARGET_PRESENT; ON_DEMAND_LOAD.</x:v>
      </x:c>
      <x:c r="Y120" s="22" t="str">
        <x:v>https://learn.chatgpt.com/docs/build-skills</x:v>
      </x:c>
    </x:row>
    <x:row r="121" ht="68" customHeight="1">
      <x:c r="A121" s="23" t="n">
        <x:v>117</x:v>
      </x:c>
      <x:c r="B121" s="22" t="str">
        <x:v>8.4.6-C/plugin/.claude/skills/p2p/scope_helm.md</x:v>
      </x:c>
      <x:c r="C121" s="22" t="str">
        <x:v>scope_helm.md</x:v>
      </x:c>
      <x:c r="D121" s="22" t="str">
        <x:v>09 · Plugin: lõi P2P</x:v>
      </x:c>
      <x:c r="E121" s="23" t="str">
        <x:v>.md</x:v>
      </x:c>
      <x:c r="F121" s="24" t="n">
        <x:v>14875</x:v>
      </x:c>
      <x:c r="G121" s="23" t="str">
        <x:v>FCCA620F</x:v>
      </x:c>
      <x:c r="H121" s="22" t="str">
        <x:v>scope: SCOPE.HELM v1.2 — SPLITTER, CAPSULE, ROUTER for large multi-step tasks. Environment-aware behavior (Code/API/Projects/Chat). GUARDIAN protocol.; version: 8.4.6-C; Tiêu đề: P2P — SCOPE.HELM v1.2 (scope_helm.md) / SCOPE.HELM — ДЛЯ БОЛЬШИХ ЗАДАЧ</x:v>
      </x:c>
      <x:c r="I121" s="22" t="str">
        <x:v>SCOPE.HELM: chia nhỏ việc lớn, tạo capsule, định tuyến và bảo vệ ràng buộc.</x:v>
      </x:c>
      <x:c r="J121" s="22" t="str">
        <x:v>Trạng thái, scope &amp; đo lường</x:v>
      </x:c>
      <x:c r="K121" s="22" t="str">
        <x:v>Nguồn vận hành plugin Claude (canonical)</x:v>
      </x:c>
      <x:c r="L121" s="22" t="str">
        <x:v>Cùng chức năng/biến thể triển khai với: 8.4.6-C/for-chat/!scope.md</x:v>
      </x:c>
      <x:c r="M121" s="22" t="str">
        <x:v>source/8.4.6-C/plugin/.claude/skills/p2p/scope_helm.md</x:v>
      </x:c>
      <x:c r="N121" s="22" t="str">
        <x:v>Giữ cả các file gốc trong source snapshot; runtime chỉ kích hoạt một bản canonical để tránh nạp kép.</x:v>
      </x:c>
      <x:c r="O121" s="22" t="str">
        <x:v>Reference on-demand</x:v>
      </x:c>
      <x:c r="P121" s="22" t="str">
        <x:v>.agents/skills/p2p/references/legacy/scope_helm.md</x:v>
      </x:c>
      <x:c r="Q121" s="22" t="str">
        <x:v>KEEP_SOURCE + TRANSLATE_SEMANTICS</x:v>
      </x:c>
      <x:c r="R121" s="22" t="str">
        <x:v>Cao về kiến thức · cần bỏ giả định Claude</x:v>
      </x:c>
      <x:c r="S121" s="22" t="str">
        <x:v>Skill Codex chỉ đọc reference này khi nhiệm vụ cần; không preload toàn bộ</x:v>
      </x:c>
      <x:c r="T121" s="22" t="str">
        <x:v>4 · Scope, trạng thái &amp; đào tạo</x:v>
      </x:c>
      <x:c r="U121" s="22" t="str">
        <x:v>P1 · Cao</x:v>
      </x:c>
      <x:c r="V121" s="22" t="str">
        <x:v>Đã giữ reference; nạp theo nhu cầu</x:v>
      </x:c>
      <x:c r="W121" s="22" t="str">
        <x:v>CRC nguồn khớp; nội dung không mất; reference chỉ nạp khi cần; 3 ca parity và một ca không kích hoạt ngoài ý muốn.</x:v>
      </x:c>
      <x:c r="X121" s="22" t="str">
        <x:v>Không thấy rủi ro riêng ngoài yêu cầu parity và truy vết nguồn. Đích đề xuất ban đầu: skills/p2p/references/scope_helm.md. Đích thực tế trong gói: .agents/skills/p2p/references/legacy/scope_helm.md. Bằng chứng: SOURCE_HASH_VERIFIED; TARGET_PRESENT; ON_DEMAND_LOAD.</x:v>
      </x:c>
      <x:c r="Y121" s="22" t="str">
        <x:v>https://learn.chatgpt.com/docs/build-skills</x:v>
      </x:c>
    </x:row>
    <x:row r="122" ht="68" customHeight="1">
      <x:c r="A122" s="23" t="n">
        <x:v>118</x:v>
      </x:c>
      <x:c r="B122" s="22" t="str">
        <x:v>8.4.6-C/plugin/.claude/skills/p2p/security.md</x:v>
      </x:c>
      <x:c r="C122" s="22" t="str">
        <x:v>security.md</x:v>
      </x:c>
      <x:c r="D122" s="22" t="str">
        <x:v>09 · Plugin: lõi P2P</x:v>
      </x:c>
      <x:c r="E122" s="23" t="str">
        <x:v>.md</x:v>
      </x:c>
      <x:c r="F122" s="24" t="n">
        <x:v>6333</x:v>
      </x:c>
      <x:c r="G122" s="23" t="str">
        <x:v>21F7B7AC</x:v>
      </x:c>
      <x:c r="H122" s="22" t="str">
        <x:v>scope: Аудит и защита промптов для P2P v8C.3 — обнаружение prompt injection, adversarial inputs, jailbreak patterns, hardening. Загружается по триггеру или MODULE_SECURITY=true.; version: 8.4.6-C; Tiêu đề: P2P — SECURITY MODULE (security.md) / ТЕХНИКИ БЕЗОПАСНОСТИ (интегрированные)</x:v>
      </x:c>
      <x:c r="I122" s="22" t="str">
        <x:v>Phát hiện prompt injection, đầu vào đối kháng, jailbreak và gia cố prompt.</x:v>
      </x:c>
      <x:c r="J122" s="22" t="str">
        <x:v>An toàn &amp; quyền kiểm soát</x:v>
      </x:c>
      <x:c r="K122" s="22" t="str">
        <x:v>Nguồn vận hành plugin Claude (canonical)</x:v>
      </x:c>
      <x:c r="L122" s="22" t="str">
        <x:v>Cùng chức năng/biến thể triển khai với: 8.4.6-C/for-chat/!security.md</x:v>
      </x:c>
      <x:c r="M122" s="22" t="str">
        <x:v>source/8.4.6-C/plugin/.claude/skills/p2p/security.md</x:v>
      </x:c>
      <x:c r="N122" s="22" t="str">
        <x:v>Giữ cả các file gốc trong source snapshot; runtime chỉ kích hoạt một bản canonical để tránh nạp kép.</x:v>
      </x:c>
      <x:c r="O122" s="22" t="str">
        <x:v>Reference on-demand</x:v>
      </x:c>
      <x:c r="P122" s="22" t="str">
        <x:v>.agents/skills/p2p/references/legacy/security.md</x:v>
      </x:c>
      <x:c r="Q122" s="22" t="str">
        <x:v>KEEP_SOURCE + TRANSLATE_SEMANTICS</x:v>
      </x:c>
      <x:c r="R122" s="22" t="str">
        <x:v>Cao về kiến thức · cần bỏ giả định Claude</x:v>
      </x:c>
      <x:c r="S122" s="22" t="str">
        <x:v>Skill Codex chỉ đọc reference này khi nhiệm vụ cần; không preload toàn bộ</x:v>
      </x:c>
      <x:c r="T122" s="22" t="str">
        <x:v>5 · Mô-đun mở rộng</x:v>
      </x:c>
      <x:c r="U122" s="22" t="str">
        <x:v>P2 · Trung bình</x:v>
      </x:c>
      <x:c r="V122" s="22" t="str">
        <x:v>Đã giữ reference; nạp theo nhu cầu</x:v>
      </x:c>
      <x:c r="W122" s="22" t="str">
        <x:v>CRC nguồn khớp; nội dung không mất; reference chỉ nạp khi cần; 3 ca parity và một ca không kích hoạt ngoài ý muốn.</x:v>
      </x:c>
      <x:c r="X122" s="22" t="str">
        <x:v>Không thấy rủi ro riêng ngoài yêu cầu parity và truy vết nguồn. Đích đề xuất ban đầu: skills/p2p/references/security.md. Đích thực tế trong gói: .agents/skills/p2p/references/legacy/security.md. Bằng chứng: SOURCE_HASH_VERIFIED; TARGET_PRESENT; ON_DEMAND_LOAD.</x:v>
      </x:c>
      <x:c r="Y122" s="22" t="str">
        <x:v>https://learn.chatgpt.com/docs/build-skills</x:v>
      </x:c>
    </x:row>
    <x:row r="123" ht="68" customHeight="1">
      <x:c r="A123" s="23" t="n">
        <x:v>119</x:v>
      </x:c>
      <x:c r="B123" s="22" t="str">
        <x:v>8.4.6-C/plugin/.claude/skills/p2p/session_metrics.md</x:v>
      </x:c>
      <x:c r="C123" s="22" t="str">
        <x:v>session_metrics.md</x:v>
      </x:c>
      <x:c r="D123" s="22" t="str">
        <x:v>09 · Plugin: lõi P2P</x:v>
      </x:c>
      <x:c r="E123" s="23" t="str">
        <x:v>.md</x:v>
      </x:c>
      <x:c r="F123" s="24" t="n">
        <x:v>11036</x:v>
      </x:c>
      <x:c r="G123" s="23" t="str">
        <x:v>CB597F39</x:v>
      </x:c>
      <x:c r="H123" s="22" t="str">
        <x:v>scope: Session Metrics v0.2 — efficiency formula, routing memory tracking, quality scoring, performance dashboard.; version: 8.4.6-C; Tiêu đề: P2P — SESSION METRICS v0.2 (session_metrics.md) / TRACKING FIELDS</x:v>
      </x:c>
      <x:c r="I123" s="22" t="str">
        <x:v>Theo dõi hiệu quả phiên, chất lượng, lịch sử định tuyến và bảng chỉ số.</x:v>
      </x:c>
      <x:c r="J123" s="22" t="str">
        <x:v>Trạng thái, scope &amp; đo lường</x:v>
      </x:c>
      <x:c r="K123" s="22" t="str">
        <x:v>Nguồn vận hành plugin Claude (canonical)</x:v>
      </x:c>
      <x:c r="L123" s="22" t="str">
        <x:v>Cùng chức năng/biến thể triển khai với: 8.4.6-C/for-chat/!metrics.md</x:v>
      </x:c>
      <x:c r="M123" s="22" t="str">
        <x:v>source/8.4.6-C/plugin/.claude/skills/p2p/session_metrics.md</x:v>
      </x:c>
      <x:c r="N123" s="22" t="str">
        <x:v>Giữ cả các file gốc trong source snapshot; runtime chỉ kích hoạt một bản canonical để tránh nạp kép.</x:v>
      </x:c>
      <x:c r="O123" s="22" t="str">
        <x:v>Reference on-demand</x:v>
      </x:c>
      <x:c r="P123" s="22" t="str">
        <x:v>.agents/skills/p2p/references/legacy/session_metrics.md</x:v>
      </x:c>
      <x:c r="Q123" s="22" t="str">
        <x:v>KEEP_SOURCE + TRANSLATE_SEMANTICS</x:v>
      </x:c>
      <x:c r="R123" s="22" t="str">
        <x:v>Cao về kiến thức · cần bỏ giả định Claude</x:v>
      </x:c>
      <x:c r="S123" s="22" t="str">
        <x:v>Skill Codex chỉ đọc reference này khi nhiệm vụ cần; không preload toàn bộ</x:v>
      </x:c>
      <x:c r="T123" s="22" t="str">
        <x:v>4 · Scope, trạng thái &amp; đào tạo</x:v>
      </x:c>
      <x:c r="U123" s="22" t="str">
        <x:v>P1 · Cao</x:v>
      </x:c>
      <x:c r="V123" s="22" t="str">
        <x:v>Đã giữ reference; nạp theo nhu cầu</x:v>
      </x:c>
      <x:c r="W123" s="22" t="str">
        <x:v>CRC nguồn khớp; nội dung không mất; reference chỉ nạp khi cần; 3 ca parity và một ca không kích hoạt ngoài ý muốn.</x:v>
      </x:c>
      <x:c r="X123" s="22" t="str">
        <x:v>Không hứa lưu bền qua phiên nếu chưa có storage/connector; cần nêu rõ phạm vi bộ nhớ. Đích đề xuất ban đầu: skills/p2p/references/session_metrics.md. Đích thực tế trong gói: .agents/skills/p2p/references/legacy/session_metrics.md. Bằng chứng: SOURCE_HASH_VERIFIED; TARGET_PRESENT; ON_DEMAND_LOAD.</x:v>
      </x:c>
      <x:c r="Y123" s="22" t="str">
        <x:v>https://learn.chatgpt.com/docs/build-skills</x:v>
      </x:c>
    </x:row>
    <x:row r="124" ht="68" customHeight="1">
      <x:c r="A124" s="23" t="n">
        <x:v>120</x:v>
      </x:c>
      <x:c r="B124" s="22" t="str">
        <x:v>8.4.6-C/plugin/.claude/skills/p2p/teacher.md</x:v>
      </x:c>
      <x:c r="C124" s="22" t="str">
        <x:v>teacher.md</x:v>
      </x:c>
      <x:c r="D124" s="22" t="str">
        <x:v>09 · Plugin: lõi P2P</x:v>
      </x:c>
      <x:c r="E124" s="23" t="str">
        <x:v>.md</x:v>
      </x:c>
      <x:c r="F124" s="24" t="n">
        <x:v>32841</x:v>
      </x:c>
      <x:c r="G124" s="23" t="str">
        <x:v>85F89410</x:v>
      </x:c>
      <x:c r="H124" s="22" t="str">
        <x:v>scope: Interactive teaching curriculum for P2P v8C.3. 5 levels + Q&amp;A FAQ. Loaded on /p2p-teacher trigger.; version: 8.4.6-C; Tiêu đề: teacher.md — Curriculum P2P v8C.3 / ОГЛАВЛЕНИЕ</x:v>
      </x:c>
      <x:c r="I124" s="22" t="str">
        <x:v>Giáo trình tương tác 5 cấp độ giúp người mới học và thực hành P2P.</x:v>
      </x:c>
      <x:c r="J124" s="22" t="str">
        <x:v>Đào tạo &amp; hướng dẫn</x:v>
      </x:c>
      <x:c r="K124" s="22" t="str">
        <x:v>Nguồn vận hành plugin Claude (canonical)</x:v>
      </x:c>
      <x:c r="L124" s="22" t="str">
        <x:v>Cùng chức năng/biến thể triển khai với: 8.4.6-C/for-chat/!teacher.md</x:v>
      </x:c>
      <x:c r="M124" s="22" t="str">
        <x:v>source/8.4.6-C/plugin/.claude/skills/p2p/teacher.md</x:v>
      </x:c>
      <x:c r="N124" s="22" t="str">
        <x:v>Giữ cả các file gốc trong source snapshot; runtime chỉ kích hoạt một bản canonical để tránh nạp kép.</x:v>
      </x:c>
      <x:c r="O124" s="22" t="str">
        <x:v>Reference on-demand</x:v>
      </x:c>
      <x:c r="P124" s="22" t="str">
        <x:v>.agents/skills/p2p/references/legacy/teacher.md</x:v>
      </x:c>
      <x:c r="Q124" s="22" t="str">
        <x:v>KEEP_SOURCE + TRANSLATE_SEMANTICS</x:v>
      </x:c>
      <x:c r="R124" s="22" t="str">
        <x:v>Cao về kiến thức · cần bỏ giả định Claude</x:v>
      </x:c>
      <x:c r="S124" s="22" t="str">
        <x:v>Skill Codex chỉ đọc reference này khi nhiệm vụ cần; không preload toàn bộ</x:v>
      </x:c>
      <x:c r="T124" s="22" t="str">
        <x:v>4 · Scope, trạng thái &amp; đào tạo</x:v>
      </x:c>
      <x:c r="U124" s="22" t="str">
        <x:v>P1 · Cao</x:v>
      </x:c>
      <x:c r="V124" s="22" t="str">
        <x:v>Đã giữ reference; nạp theo nhu cầu</x:v>
      </x:c>
      <x:c r="W124" s="22" t="str">
        <x:v>CRC nguồn khớp; nội dung không mất; reference chỉ nạp khi cần; 3 ca parity và một ca không kích hoạt ngoài ý muốn.</x:v>
      </x:c>
      <x:c r="X124" s="22" t="str">
        <x:v>Không thấy rủi ro riêng ngoài yêu cầu parity và truy vết nguồn. Đích đề xuất ban đầu: skills/p2p/references/teacher.md. Đích thực tế trong gói: .agents/skills/p2p/references/legacy/teacher.md. Bằng chứng: SOURCE_HASH_VERIFIED; TARGET_PRESENT; ON_DEMAND_LOAD.</x:v>
      </x:c>
      <x:c r="Y124" s="22" t="str">
        <x:v>https://learn.chatgpt.com/docs/build-skills</x:v>
      </x:c>
    </x:row>
    <x:row r="125" ht="68" customHeight="1">
      <x:c r="A125" s="23" t="n">
        <x:v>121</x:v>
      </x:c>
      <x:c r="B125" s="22" t="str">
        <x:v>8.4.6-C/plugin/.claude/skills/p2p/templates_library.md</x:v>
      </x:c>
      <x:c r="C125" s="22" t="str">
        <x:v>templates_library.md</x:v>
      </x:c>
      <x:c r="D125" s="22" t="str">
        <x:v>09 · Plugin: lõi P2P</x:v>
      </x:c>
      <x:c r="E125" s="23" t="str">
        <x:v>.md</x:v>
      </x:c>
      <x:c r="F125" s="24" t="n">
        <x:v>16034</x:v>
      </x:c>
      <x:c r="G125" s="23" t="str">
        <x:v>255A0705</x:v>
      </x:c>
      <x:c r="H125" s="22" t="str">
        <x:v>scope: Extended template library — full implementations of Templates A–M with examples, usage notes, and variants. Base templates are in db.md; this module adds extended details and domain-specific variants.; version: 8.4.6-C; Tiêu đề: P2P — TEMPLATE LIBRARY EXTENDED (templates_library.md) / ВЫБОР ШАБЛОНА — БЫСТРЫЙ ГАЙД</x:v>
      </x:c>
      <x:c r="I125" s="22" t="str">
        <x:v>Thư viện mở rộng các mẫu A–M, ví dụ và biến thể theo miền.</x:v>
      </x:c>
      <x:c r="J125" s="22" t="str">
        <x:v>Prompt engineering &amp; QC</x:v>
      </x:c>
      <x:c r="K125" s="22" t="str">
        <x:v>Nguồn vận hành plugin Claude (canonical)</x:v>
      </x:c>
      <x:c r="L125" s="22" t="str">
        <x:v>Cùng chức năng/biến thể triển khai với: 8.4.6-C/for-chat/!templates.md</x:v>
      </x:c>
      <x:c r="M125" s="22" t="str">
        <x:v>source/8.4.6-C/plugin/.claude/skills/p2p/templates_library.md</x:v>
      </x:c>
      <x:c r="N125" s="22" t="str">
        <x:v>Giữ cả các file gốc trong source snapshot; runtime chỉ kích hoạt một bản canonical để tránh nạp kép.</x:v>
      </x:c>
      <x:c r="O125" s="22" t="str">
        <x:v>Reference on-demand</x:v>
      </x:c>
      <x:c r="P125" s="22" t="str">
        <x:v>.agents/skills/p2p/references/legacy/templates_library.md</x:v>
      </x:c>
      <x:c r="Q125" s="22" t="str">
        <x:v>KEEP_SOURCE + TRANSLATE_SEMANTICS</x:v>
      </x:c>
      <x:c r="R125" s="22" t="str">
        <x:v>Cao về kiến thức · cần bỏ giả định Claude</x:v>
      </x:c>
      <x:c r="S125" s="22" t="str">
        <x:v>Skill Codex chỉ đọc reference này khi nhiệm vụ cần; không preload toàn bộ</x:v>
      </x:c>
      <x:c r="T125" s="22" t="str">
        <x:v>3 · Lệnh &amp; prompt workflow</x:v>
      </x:c>
      <x:c r="U125" s="22" t="str">
        <x:v>P1 · Cao</x:v>
      </x:c>
      <x:c r="V125" s="22" t="str">
        <x:v>Đã giữ reference; nạp theo nhu cầu</x:v>
      </x:c>
      <x:c r="W125" s="22" t="str">
        <x:v>CRC nguồn khớp; nội dung không mất; reference chỉ nạp khi cần; 3 ca parity và một ca không kích hoạt ngoài ý muốn.</x:v>
      </x:c>
      <x:c r="X125" s="22" t="str">
        <x:v>Không thấy rủi ro riêng ngoài yêu cầu parity và truy vết nguồn. Đích đề xuất ban đầu: skills/p2p/references/templates_library.md. Đích thực tế trong gói: .agents/skills/p2p/references/legacy/templates_library.md. Bằng chứng: SOURCE_HASH_VERIFIED; TARGET_PRESENT; ON_DEMAND_LOAD.</x:v>
      </x:c>
      <x:c r="Y125" s="22" t="str">
        <x:v>https://learn.chatgpt.com/docs/build-skills</x:v>
      </x:c>
    </x:row>
    <x:row r="126" ht="68" customHeight="1">
      <x:c r="A126" s="23" t="n">
        <x:v>122</x:v>
      </x:c>
      <x:c r="B126" s="22" t="str">
        <x:v>8.4.6-C/plugin/.claude/skills/p2p/tool_budget.md</x:v>
      </x:c>
      <x:c r="C126" s="22" t="str">
        <x:v>tool_budget.md</x:v>
      </x:c>
      <x:c r="D126" s="22" t="str">
        <x:v>09 · Plugin: lõi P2P</x:v>
      </x:c>
      <x:c r="E126" s="23" t="str">
        <x:v>.md</x:v>
      </x:c>
      <x:c r="F126" s="24" t="n">
        <x:v>3879</x:v>
      </x:c>
      <x:c r="G126" s="23" t="str">
        <x:v>64B6008A</x:v>
      </x:c>
      <x:c r="H126" s="22" t="str">
        <x:v>scope: Tool Budget — managing API tool call limits, re-injection protocols, constraint drift prevention for agentic workflows.; version: 8.4.6-C; Tiêu đề: P2P — TOOL BUDGET (tool_budget.md) / ПРОБЛЕМА CONSTRAINT DRIFT</x:v>
      </x:c>
      <x:c r="I126" s="22" t="str">
        <x:v>Quản lý ngân sách gọi công cụ và chống trôi ràng buộc trong workflow agentic.</x:v>
      </x:c>
      <x:c r="J126" s="22" t="str">
        <x:v>Trạng thái, scope &amp; đo lường</x:v>
      </x:c>
      <x:c r="K126" s="22" t="str">
        <x:v>Nguồn vận hành plugin Claude (canonical)</x:v>
      </x:c>
      <x:c r="L126" s="22" t="str">
        <x:v>Cùng chức năng/biến thể triển khai với: 8.4.6-C/for-chat/!tool_budget.md</x:v>
      </x:c>
      <x:c r="M126" s="22" t="str">
        <x:v>source/8.4.6-C/plugin/.claude/skills/p2p/tool_budget.md</x:v>
      </x:c>
      <x:c r="N126" s="22" t="str">
        <x:v>Giữ cả các file gốc trong source snapshot; runtime chỉ kích hoạt một bản canonical để tránh nạp kép.</x:v>
      </x:c>
      <x:c r="O126" s="22" t="str">
        <x:v>Reference on-demand</x:v>
      </x:c>
      <x:c r="P126" s="22" t="str">
        <x:v>.agents/skills/p2p/references/legacy/tool_budget.md</x:v>
      </x:c>
      <x:c r="Q126" s="22" t="str">
        <x:v>KEEP_SOURCE + TRANSLATE_SEMANTICS</x:v>
      </x:c>
      <x:c r="R126" s="22" t="str">
        <x:v>Cao về kiến thức · cần bỏ giả định Claude</x:v>
      </x:c>
      <x:c r="S126" s="22" t="str">
        <x:v>Skill Codex chỉ đọc reference này khi nhiệm vụ cần; không preload toàn bộ</x:v>
      </x:c>
      <x:c r="T126" s="22" t="str">
        <x:v>4 · Scope, trạng thái &amp; đào tạo</x:v>
      </x:c>
      <x:c r="U126" s="22" t="str">
        <x:v>P1 · Cao</x:v>
      </x:c>
      <x:c r="V126" s="22" t="str">
        <x:v>Đã giữ reference; nạp theo nhu cầu</x:v>
      </x:c>
      <x:c r="W126" s="22" t="str">
        <x:v>CRC nguồn khớp; nội dung không mất; reference chỉ nạp khi cần; 3 ca parity và một ca không kích hoạt ngoài ý muốn.</x:v>
      </x:c>
      <x:c r="X126" s="22" t="str">
        <x:v>Không thấy rủi ro riêng ngoài yêu cầu parity và truy vết nguồn. Đích đề xuất ban đầu: skills/p2p/references/tool_budget.md. Đích thực tế trong gói: .agents/skills/p2p/references/legacy/tool_budget.md. Bằng chứng: SOURCE_HASH_VERIFIED; TARGET_PRESENT; ON_DEMAND_LOAD.</x:v>
      </x:c>
      <x:c r="Y126" s="22" t="str">
        <x:v>https://learn.chatgpt.com/docs/build-skills</x:v>
      </x:c>
    </x:row>
    <x:row r="127" ht="68" customHeight="1">
      <x:c r="A127" s="23" t="n">
        <x:v>123</x:v>
      </x:c>
      <x:c r="B127" s="22" t="str">
        <x:v>8.4.6-C/plugin/.claude/skills/p2p/user_context.md</x:v>
      </x:c>
      <x:c r="C127" s="22" t="str">
        <x:v>user_context.md</x:v>
      </x:c>
      <x:c r="D127" s="22" t="str">
        <x:v>09 · Plugin: lõi P2P</x:v>
      </x:c>
      <x:c r="E127" s="23" t="str">
        <x:v>.md</x:v>
      </x:c>
      <x:c r="F127" s="24" t="n">
        <x:v>4959</x:v>
      </x:c>
      <x:c r="G127" s="23" t="str">
        <x:v>6F4137DB</x:v>
      </x:c>
      <x:c r="H127" s="22" t="str">
        <x:v>scope: User Context extended — personalization profiles, communication preferences, expertise mapping, adaptive behavior rules.; version: 8.4.6-C; Tiêu đề: P2P — USER CONTEXT EXTENDED (user_context.md) / ЗАЧЕМ USER CONTEXT</x:v>
      </x:c>
      <x:c r="I127" s="22" t="str">
        <x:v>Hồ sơ người dùng, sở thích giao tiếp, mức chuyên môn và quy tắc thích ứng.</x:v>
      </x:c>
      <x:c r="J127" s="22" t="str">
        <x:v>Ngữ cảnh người dùng &amp; miền</x:v>
      </x:c>
      <x:c r="K127" s="22" t="str">
        <x:v>Nguồn vận hành plugin Claude (canonical)</x:v>
      </x:c>
      <x:c r="L127" s="22" t="str">
        <x:v>Cùng chức năng/biến thể triển khai với: 8.4.6-C/for-chat/!user_context.md</x:v>
      </x:c>
      <x:c r="M127" s="22" t="str">
        <x:v>source/8.4.6-C/plugin/.claude/skills/p2p/user_context.md</x:v>
      </x:c>
      <x:c r="N127" s="22" t="str">
        <x:v>Giữ cả các file gốc trong source snapshot; runtime chỉ kích hoạt một bản canonical để tránh nạp kép.</x:v>
      </x:c>
      <x:c r="O127" s="22" t="str">
        <x:v>Reference on-demand</x:v>
      </x:c>
      <x:c r="P127" s="22" t="str">
        <x:v>.agents/skills/p2p/references/legacy/user_context.md</x:v>
      </x:c>
      <x:c r="Q127" s="22" t="str">
        <x:v>KEEP_SOURCE + TRANSLATE_SEMANTICS</x:v>
      </x:c>
      <x:c r="R127" s="22" t="str">
        <x:v>Cao về kiến thức · cần bỏ giả định Claude</x:v>
      </x:c>
      <x:c r="S127" s="22" t="str">
        <x:v>Skill Codex chỉ đọc reference này khi nhiệm vụ cần; không preload toàn bộ</x:v>
      </x:c>
      <x:c r="T127" s="22" t="str">
        <x:v>4 · Scope, trạng thái &amp; đào tạo</x:v>
      </x:c>
      <x:c r="U127" s="22" t="str">
        <x:v>P1 · Cao</x:v>
      </x:c>
      <x:c r="V127" s="22" t="str">
        <x:v>Đã giữ reference; nạp theo nhu cầu</x:v>
      </x:c>
      <x:c r="W127" s="22" t="str">
        <x:v>CRC nguồn khớp; nội dung không mất; reference chỉ nạp khi cần; 3 ca parity và một ca không kích hoạt ngoài ý muốn.</x:v>
      </x:c>
      <x:c r="X127" s="22" t="str">
        <x:v>Không thấy rủi ro riêng ngoài yêu cầu parity và truy vết nguồn. Đích đề xuất ban đầu: skills/p2p/references/user_context.md. Đích thực tế trong gói: .agents/skills/p2p/references/legacy/user_context.md. Bằng chứng: SOURCE_HASH_VERIFIED; TARGET_PRESENT; ON_DEMAND_LOAD.</x:v>
      </x:c>
      <x:c r="Y127" s="22" t="str">
        <x:v>https://learn.chatgpt.com/docs/build-skills</x:v>
      </x:c>
    </x:row>
    <x:row r="128" ht="68" customHeight="1">
      <x:c r="A128" s="23" t="n">
        <x:v>124</x:v>
      </x:c>
      <x:c r="B128" s="22" t="str">
        <x:v>8.4.6-C/plugin/.claude/skills/p2p/vendors/_live_claude.md</x:v>
      </x:c>
      <x:c r="C128" s="22" t="str">
        <x:v>_live_claude.md</x:v>
      </x:c>
      <x:c r="D128" s="22" t="str">
        <x:v>09 · Plugin: lõi P2P</x:v>
      </x:c>
      <x:c r="E128" s="23" t="str">
        <x:v>.md</x:v>
      </x:c>
      <x:c r="F128" s="24" t="n">
        <x:v>7385</x:v>
      </x:c>
      <x:c r="G128" s="23" t="str">
        <x:v>D848C3AA</x:v>
      </x:c>
      <x:c r="H128" s="22" t="str">
        <x:v>scope: Claude-specific live data — current models, pricing, Extended Thinking API, context strategy. Update when Anthropic releases changes.; version: 8.4.6-C; Tiêu đề: P2P — LIVE CLAUDE SPECS (vendors/_live_claude.md) / АКТУАЛЬНЫЕ МОДЕЛИ (2026-07-26)</x:v>
      </x:c>
      <x:c r="I128" s="22" t="str">
        <x:v>Ảnh chụp thông số mô hình Claude, giá và chiến lược context tại thời điểm phát hành.</x:v>
      </x:c>
      <x:c r="J128" s="22" t="str">
        <x:v>Dữ liệu LIVE &amp; model/vendor</x:v>
      </x:c>
      <x:c r="K128" s="22" t="str">
        <x:v>Nguồn vận hành plugin Claude (canonical)</x:v>
      </x:c>
      <x:c r="L128" s="22" t="str">
        <x:v>Cùng chức năng/biến thể triển khai với: 8.4.6-C/for-chat/_live/live_claude.md</x:v>
      </x:c>
      <x:c r="M128" s="22" t="str">
        <x:v>source/8.4.6-C/plugin/.claude/skills/p2p/vendors/_live_claude.md</x:v>
      </x:c>
      <x:c r="N128" s="22" t="str">
        <x:v>Giữ cả các file gốc trong source snapshot; runtime chỉ kích hoạt một bản canonical để tránh nạp kép. Snapshot chỉ là bằng chứng lịch sử; lớp LIVE mới phải có nguồn và ngày kiểm chứng.</x:v>
      </x:c>
      <x:c r="O128" s="22" t="str">
        <x:v>Reference LIVE có ngày kiểm chứng</x:v>
      </x:c>
      <x:c r="P128" s="22" t="str">
        <x:v>.agents/skills/p2p/references/legacy/live/_live_claude.md</x:v>
      </x:c>
      <x:c r="Q128" s="22" t="str">
        <x:v>KEEP_SOURCE + VERIFY_LIVE + REWRITE_NATIVE</x:v>
      </x:c>
      <x:c r="R128" s="22" t="str">
        <x:v>Thấp nếu chép nguyên · cao sau kiểm chứng</x:v>
      </x:c>
      <x:c r="S128" s="22" t="str">
        <x:v>Chỉ đọc như lịch sử; kiểm tra nguồn chính thức hiện hành trước khi áp dụng</x:v>
      </x:c>
      <x:c r="T128" s="22" t="str">
        <x:v>6 · LIVE &amp; tích hợp</x:v>
      </x:c>
      <x:c r="U128" s="22" t="str">
        <x:v>P1 · Cao</x:v>
      </x:c>
      <x:c r="V128" s="22" t="str">
        <x:v>Đã giữ nguồn; phải xác minh hiện hành</x:v>
      </x:c>
      <x:c r="W128" s="22" t="str">
        <x:v>Mỗi claim có nguồn chính thức + ngày kiểm chứng; cảnh báo stale; offline fallback không bịa dữ liệu.</x:v>
      </x:c>
      <x:c r="X128" s="22" t="str">
        <x:v>Tên model, giá, API và context có thể thay đổi; không coi snapshot là dữ liệu hiện hành. Đích đề xuất ban đầu: skills/p2p/references/live/live_claude.md. Đích thực tế trong gói: .agents/skills/p2p/references/legacy/live/_live_claude.md. Bằng chứng: SOURCE_HASH_VERIFIED; FRESHNESS_GATE_REQUIRED.</x:v>
      </x:c>
      <x:c r="Y128" s="22" t="str">
        <x:v>https://learn.chatgpt.com/docs/build-skills</x:v>
      </x:c>
    </x:row>
    <x:row r="129" ht="68" customHeight="1">
      <x:c r="A129" s="23" t="n">
        <x:v>125</x:v>
      </x:c>
      <x:c r="B129" s="22" t="str">
        <x:v>8.4.6-C/plugin/.claude/skills/p2p/vendors/_live_core.md</x:v>
      </x:c>
      <x:c r="C129" s="22" t="str">
        <x:v>_live_core.md</x:v>
      </x:c>
      <x:c r="D129" s="22" t="str">
        <x:v>09 · Plugin: lõi P2P</x:v>
      </x:c>
      <x:c r="E129" s="23" t="str">
        <x:v>.md</x:v>
      </x:c>
      <x:c r="F129" s="24" t="n">
        <x:v>4046</x:v>
      </x:c>
      <x:c r="G129" s="23" t="str">
        <x:v>6FD3DA09</x:v>
      </x:c>
      <x:c r="H129" s="22" t="str">
        <x:v>scope: P2P live session state — current session tracking, active project, ATLAS state placeholder, routing memory state.; version: 8.4.6-C; Tiêu đề: P2P — LIVE CORE (_live/live_core.md) / ТЕКУЩАЯ СЕССИЯ</x:v>
      </x:c>
      <x:c r="I129" s="22" t="str">
        <x:v>Mẫu trạng thái phiên, dự án đang hoạt động, ATLAS và bộ nhớ định tuyến.</x:v>
      </x:c>
      <x:c r="J129" s="22" t="str">
        <x:v>Dữ liệu LIVE &amp; model/vendor</x:v>
      </x:c>
      <x:c r="K129" s="22" t="str">
        <x:v>Nguồn vận hành plugin Claude (canonical)</x:v>
      </x:c>
      <x:c r="L129" s="22" t="str">
        <x:v>Cùng chức năng/biến thể triển khai với: 8.4.6-C/for-chat/_live/live_core.md</x:v>
      </x:c>
      <x:c r="M129" s="22" t="str">
        <x:v>source/8.4.6-C/plugin/.claude/skills/p2p/vendors/_live_core.md</x:v>
      </x:c>
      <x:c r="N129" s="22" t="str">
        <x:v>Giữ cả các file gốc trong source snapshot; runtime chỉ kích hoạt một bản canonical để tránh nạp kép. Snapshot chỉ là bằng chứng lịch sử; lớp LIVE mới phải có nguồn và ngày kiểm chứng.</x:v>
      </x:c>
      <x:c r="O129" s="22" t="str">
        <x:v>Reference LIVE có ngày kiểm chứng</x:v>
      </x:c>
      <x:c r="P129" s="22" t="str">
        <x:v>.agents/skills/p2p/references/legacy/live/_live_core.md</x:v>
      </x:c>
      <x:c r="Q129" s="22" t="str">
        <x:v>KEEP_SOURCE + VERIFY_LIVE + REWRITE_NATIVE</x:v>
      </x:c>
      <x:c r="R129" s="22" t="str">
        <x:v>Thấp nếu chép nguyên · cao sau kiểm chứng</x:v>
      </x:c>
      <x:c r="S129" s="22" t="str">
        <x:v>Chỉ đọc như lịch sử; kiểm tra nguồn chính thức hiện hành trước khi áp dụng</x:v>
      </x:c>
      <x:c r="T129" s="22" t="str">
        <x:v>6 · LIVE &amp; tích hợp</x:v>
      </x:c>
      <x:c r="U129" s="22" t="str">
        <x:v>P1 · Cao</x:v>
      </x:c>
      <x:c r="V129" s="22" t="str">
        <x:v>Đã giữ nguồn; phải xác minh hiện hành</x:v>
      </x:c>
      <x:c r="W129" s="22" t="str">
        <x:v>Mỗi claim có nguồn chính thức + ngày kiểm chứng; cảnh báo stale; offline fallback không bịa dữ liệu.</x:v>
      </x:c>
      <x:c r="X129" s="22" t="str">
        <x:v>Không hứa lưu bền qua phiên nếu chưa có storage/connector; cần nêu rõ phạm vi bộ nhớ. Đích đề xuất ban đầu: skills/p2p/references/live/live_core.md. Đích thực tế trong gói: .agents/skills/p2p/references/legacy/live/_live_core.md. Bằng chứng: SOURCE_HASH_VERIFIED; FRESHNESS_GATE_REQUIRED.</x:v>
      </x:c>
      <x:c r="Y129" s="22" t="str">
        <x:v>https://learn.chatgpt.com/docs/build-skills</x:v>
      </x:c>
    </x:row>
    <x:row r="130" ht="68" customHeight="1">
      <x:c r="A130" s="23" t="n">
        <x:v>126</x:v>
      </x:c>
      <x:c r="B130" s="22" t="str">
        <x:v>8.4.6-C/plugin/.claude/skills/p2p/vendors/_live_manifest.md</x:v>
      </x:c>
      <x:c r="C130" s="22" t="str">
        <x:v>_live_manifest.md</x:v>
      </x:c>
      <x:c r="D130" s="22" t="str">
        <x:v>09 · Plugin: lõi P2P</x:v>
      </x:c>
      <x:c r="E130" s="23" t="str">
        <x:v>.md</x:v>
      </x:c>
      <x:c r="F130" s="24" t="n">
        <x:v>9463</x:v>
      </x:c>
      <x:c r="G130" s="23" t="str">
        <x:v>1B978F06</x:v>
      </x:c>
      <x:c r="H130" s="22" t="str">
        <x:v>scope: P2P live manifest — deadlines, deprecation flags, daily refresh checklist. Always loaded as part of BASE set.; version: 8.4.6-C; Tiêu đề: P2P — LIVE MANIFEST (_live/MANIFEST.md) / ★ CRITICAL DEADLINES (from 2026-07-26)</x:v>
      </x:c>
      <x:c r="I130" s="22" t="str">
        <x:v>Danh mục dữ liệu LIVE, cờ hết hạn và checklist làm mới.</x:v>
      </x:c>
      <x:c r="J130" s="22" t="str">
        <x:v>Dữ liệu LIVE &amp; model/vendor</x:v>
      </x:c>
      <x:c r="K130" s="22" t="str">
        <x:v>Nguồn vận hành plugin Claude (canonical)</x:v>
      </x:c>
      <x:c r="L130" s="22" t="str">
        <x:v>Cùng chức năng/biến thể triển khai với: 8.4.6-C/for-chat/_live/MANIFEST.md</x:v>
      </x:c>
      <x:c r="M130" s="22" t="str">
        <x:v>source/8.4.6-C/plugin/.claude/skills/p2p/vendors/_live_manifest.md</x:v>
      </x:c>
      <x:c r="N130" s="22" t="str">
        <x:v>Giữ cả các file gốc trong source snapshot; runtime chỉ kích hoạt một bản canonical để tránh nạp kép. Snapshot chỉ là bằng chứng lịch sử; lớp LIVE mới phải có nguồn và ngày kiểm chứng.</x:v>
      </x:c>
      <x:c r="O130" s="22" t="str">
        <x:v>Reference LIVE có ngày kiểm chứng</x:v>
      </x:c>
      <x:c r="P130" s="22" t="str">
        <x:v>.agents/skills/p2p/references/legacy/live/_live_manifest.md</x:v>
      </x:c>
      <x:c r="Q130" s="22" t="str">
        <x:v>KEEP_SOURCE + VERIFY_LIVE + REWRITE_NATIVE</x:v>
      </x:c>
      <x:c r="R130" s="22" t="str">
        <x:v>Thấp nếu chép nguyên · cao sau kiểm chứng</x:v>
      </x:c>
      <x:c r="S130" s="22" t="str">
        <x:v>Chỉ đọc như lịch sử; kiểm tra nguồn chính thức hiện hành trước khi áp dụng</x:v>
      </x:c>
      <x:c r="T130" s="22" t="str">
        <x:v>6 · LIVE &amp; tích hợp</x:v>
      </x:c>
      <x:c r="U130" s="22" t="str">
        <x:v>P1 · Cao</x:v>
      </x:c>
      <x:c r="V130" s="22" t="str">
        <x:v>Đã giữ nguồn; phải xác minh hiện hành</x:v>
      </x:c>
      <x:c r="W130" s="22" t="str">
        <x:v>Mỗi claim có nguồn chính thức + ngày kiểm chứng; cảnh báo stale; offline fallback không bịa dữ liệu.</x:v>
      </x:c>
      <x:c r="X130" s="22" t="str">
        <x:v>Tên model, giá, API và context có thể thay đổi; không coi snapshot là dữ liệu hiện hành. Đích đề xuất ban đầu: skills/p2p/references/live/live_manifest.md. Đích thực tế trong gói: .agents/skills/p2p/references/legacy/live/_live_manifest.md. Bằng chứng: SOURCE_HASH_VERIFIED; FRESHNESS_GATE_REQUIRED.</x:v>
      </x:c>
      <x:c r="Y130" s="22" t="str">
        <x:v>https://learn.chatgpt.com/docs/build-skills</x:v>
      </x:c>
    </x:row>
    <x:row r="131" ht="68" customHeight="1">
      <x:c r="A131" s="23" t="n">
        <x:v>127</x:v>
      </x:c>
      <x:c r="B131" s="22" t="str">
        <x:v>8.4.6-C/plugin/.claude/skills/p2p/vendors/_live_specs.md</x:v>
      </x:c>
      <x:c r="C131" s="22" t="str">
        <x:v>_live_specs.md</x:v>
      </x:c>
      <x:c r="D131" s="22" t="str">
        <x:v>09 · Plugin: lõi P2P</x:v>
      </x:c>
      <x:c r="E131" s="23" t="str">
        <x:v>.md</x:v>
      </x:c>
      <x:c r="F131" s="24" t="n">
        <x:v>12569</x:v>
      </x:c>
      <x:c r="G131" s="23" t="str">
        <x:v>40CC26CF</x:v>
      </x:c>
      <x:c r="H131" s="22" t="str">
        <x:v>scope: All LLM vendor live specs for v8C.3 — API strings, costs, context windows, G-errors. Quick reference for Translation Layer and routing decisions.; version: 8.4.6-C; Tiêu đề: P2P — LIVE VENDOR SPECS (vendors/_live_specs.md) / CAPABILITY MATRIX (2026-07-26)</x:v>
      </x:c>
      <x:c r="I131" s="22" t="str">
        <x:v>Ma trận model/vendor, API, chi phí và context tại thời điểm phát hành.</x:v>
      </x:c>
      <x:c r="J131" s="22" t="str">
        <x:v>Dữ liệu LIVE &amp; model/vendor</x:v>
      </x:c>
      <x:c r="K131" s="22" t="str">
        <x:v>Nguồn vận hành plugin Claude (canonical)</x:v>
      </x:c>
      <x:c r="L131" s="22" t="str">
        <x:v>Cùng chức năng/biến thể triển khai với: 8.4.6-C/for-chat/_live/live_vendors.md</x:v>
      </x:c>
      <x:c r="M131" s="22" t="str">
        <x:v>source/8.4.6-C/plugin/.claude/skills/p2p/vendors/_live_specs.md</x:v>
      </x:c>
      <x:c r="N131" s="22" t="str">
        <x:v>Giữ cả các file gốc trong source snapshot; runtime chỉ kích hoạt một bản canonical để tránh nạp kép. Snapshot chỉ là bằng chứng lịch sử; lớp LIVE mới phải có nguồn và ngày kiểm chứng.</x:v>
      </x:c>
      <x:c r="O131" s="22" t="str">
        <x:v>Reference LIVE có ngày kiểm chứng</x:v>
      </x:c>
      <x:c r="P131" s="22" t="str">
        <x:v>source/8.4.6-C/plugin/.claude/skills/p2p/vendors/_live_specs.md</x:v>
      </x:c>
      <x:c r="Q131" s="22" t="str">
        <x:v>KEEP_SOURCE + VERIFY_LIVE + REWRITE_NATIVE</x:v>
      </x:c>
      <x:c r="R131" s="22" t="str">
        <x:v>Thấp nếu chép nguyên · cao sau kiểm chứng</x:v>
      </x:c>
      <x:c r="S131" s="22" t="str">
        <x:v>Chỉ đọc như lịch sử; kiểm tra nguồn chính thức hiện hành trước khi áp dụng</x:v>
      </x:c>
      <x:c r="T131" s="22" t="str">
        <x:v>6 · LIVE &amp; tích hợp</x:v>
      </x:c>
      <x:c r="U131" s="22" t="str">
        <x:v>P1 · Cao</x:v>
      </x:c>
      <x:c r="V131" s="22" t="str">
        <x:v>Đã giữ nguồn; phải xác minh hiện hành</x:v>
      </x:c>
      <x:c r="W131" s="22" t="str">
        <x:v>Mỗi claim có nguồn chính thức + ngày kiểm chứng; cảnh báo stale; offline fallback không bịa dữ liệu.</x:v>
      </x:c>
      <x:c r="X131" s="22" t="str">
        <x:v>Tên model, giá, API và context có thể thay đổi; không coi snapshot là dữ liệu hiện hành. Không tạo runtime riêng; toàn văn vẫn còn trong source snapshot và manifest truy vết. Bằng chứng: SOURCE_HASH_VERIFIED; FRESHNESS_GATE_REQUIRED.</x:v>
      </x:c>
      <x:c r="Y131" s="22" t="str">
        <x:v>https://learn.chatgpt.com/docs/extend/mcp</x:v>
      </x:c>
    </x:row>
    <x:row r="132" ht="68" customHeight="1">
      <x:c r="A132" s="23" t="n">
        <x:v>128</x:v>
      </x:c>
      <x:c r="B132" s="22" t="str">
        <x:v>8.4.6-C/plugin/.claude/skills/p2p/vendors/live_specs.md</x:v>
      </x:c>
      <x:c r="C132" s="22" t="str">
        <x:v>live_specs.md</x:v>
      </x:c>
      <x:c r="D132" s="22" t="str">
        <x:v>09 · Plugin: lõi P2P</x:v>
      </x:c>
      <x:c r="E132" s="23" t="str">
        <x:v>.md</x:v>
      </x:c>
      <x:c r="F132" s="24" t="n">
        <x:v>38568</x:v>
      </x:c>
      <x:c r="G132" s="23" t="str">
        <x:v>64C65DDA</x:v>
      </x:c>
      <x:c r="H132" s="22" t="str">
        <x:v>// ================================================================</x:v>
      </x:c>
      <x:c r="I132" s="22" t="str">
        <x:v>Bảng thông số LIVE được sinh/đóng gói; phải kiểm chứng trước khi coi là hiện hành.</x:v>
      </x:c>
      <x:c r="J132" s="22" t="str">
        <x:v>Dữ liệu LIVE &amp; model/vendor</x:v>
      </x:c>
      <x:c r="K132" s="22" t="str">
        <x:v>Nguồn vận hành plugin Claude (canonical)</x:v>
      </x:c>
      <x:c r="L132" s="22" t="str">
        <x:v>Trùng byte với: 8.4.6-C/for-chat/_live/live_specs.md</x:v>
      </x:c>
      <x:c r="M132" s="22" t="str">
        <x:v>source/8.4.6-C/plugin/.claude/skills/p2p/vendors/live_specs.md</x:v>
      </x:c>
      <x:c r="N132" s="22" t="str">
        <x:v>Giữ cả các file gốc trong source snapshot; runtime chỉ kích hoạt một bản canonical để tránh nạp kép. Snapshot chỉ là bằng chứng lịch sử; lớp LIVE mới phải có nguồn và ngày kiểm chứng.</x:v>
      </x:c>
      <x:c r="O132" s="22" t="str">
        <x:v>Reference LIVE có ngày kiểm chứng</x:v>
      </x:c>
      <x:c r="P132" s="22" t="str">
        <x:v>.agents/skills/p2p/references/legacy/live/live_specs.md</x:v>
      </x:c>
      <x:c r="Q132" s="22" t="str">
        <x:v>KEEP_SOURCE + VERIFY_LIVE + REWRITE_NATIVE</x:v>
      </x:c>
      <x:c r="R132" s="22" t="str">
        <x:v>Thấp nếu chép nguyên · cao sau kiểm chứng</x:v>
      </x:c>
      <x:c r="S132" s="22" t="str">
        <x:v>Chỉ đọc như lịch sử; kiểm tra nguồn chính thức hiện hành trước khi áp dụng</x:v>
      </x:c>
      <x:c r="T132" s="22" t="str">
        <x:v>6 · LIVE &amp; tích hợp</x:v>
      </x:c>
      <x:c r="U132" s="22" t="str">
        <x:v>P1 · Cao</x:v>
      </x:c>
      <x:c r="V132" s="22" t="str">
        <x:v>Đã giữ nguồn; phải xác minh hiện hành</x:v>
      </x:c>
      <x:c r="W132" s="22" t="str">
        <x:v>Mỗi claim có nguồn chính thức + ngày kiểm chứng; cảnh báo stale; offline fallback không bịa dữ liệu.</x:v>
      </x:c>
      <x:c r="X132" s="22" t="str">
        <x:v>Tên model, giá, API và context có thể thay đổi; không coi snapshot là dữ liệu hiện hành. Đích đề xuất ban đầu: skills/p2p/references/live/live_specs.md. Đích thực tế trong gói: .agents/skills/p2p/references/legacy/live/live_specs.md. Bằng chứng: SOURCE_HASH_VERIFIED; FRESHNESS_GATE_REQUIRED.</x:v>
      </x:c>
      <x:c r="Y132" s="22" t="str">
        <x:v>https://learn.chatgpt.com/docs/extend/mcp</x:v>
      </x:c>
    </x:row>
    <x:row r="133" ht="68" customHeight="1">
      <x:c r="A133" s="23" t="n">
        <x:v>129</x:v>
      </x:c>
      <x:c r="B133" s="22" t="str">
        <x:v>8.4.6-C/plugin/.claude/skills/p2p/vendors/tier1.md</x:v>
      </x:c>
      <x:c r="C133" s="22" t="str">
        <x:v>tier1.md</x:v>
      </x:c>
      <x:c r="D133" s="22" t="str">
        <x:v>09 · Plugin: lõi P2P</x:v>
      </x:c>
      <x:c r="E133" s="23" t="str">
        <x:v>.md</x:v>
      </x:c>
      <x:c r="F133" s="24" t="n">
        <x:v>4965</x:v>
      </x:c>
      <x:c r="G133" s="23" t="str">
        <x:v>1E68D4BB</x:v>
      </x:c>
      <x:c r="H133" s="22" t="str">
        <x:v>scope: Tier 1 budget models — Gemini 3.5 Flash-Lite, DeepSeek V4-Flash, Qwen 3.6-Plus, Kimi K2.6/K2.7, GLM-5.1, GPT-5.6 Luna. For T0-2 high-volume or cost-sensitive tasks.; version: 8.4.6-C; Tiêu đề: P2P — VENDORS TIER 1 (Budget) / Gemini 3.5 Flash-Lite (самый дешёвый уровень)</x:v>
      </x:c>
      <x:c r="I133" s="22" t="str">
        <x:v>Nhóm mô hình ngân sách thấp cho tác vụ khối lượng lớn theo ảnh chụp phát hành.</x:v>
      </x:c>
      <x:c r="J133" s="22" t="str">
        <x:v>Dữ liệu LIVE &amp; model/vendor</x:v>
      </x:c>
      <x:c r="K133" s="22" t="str">
        <x:v>Nguồn vận hành plugin Claude (canonical)</x:v>
      </x:c>
      <x:c r="L133" s="22" t="str">
        <x:v>Trùng byte với: 8.4.6-C/for-chat/vendors/tier1.md</x:v>
      </x:c>
      <x:c r="M133" s="22" t="str">
        <x:v>source/8.4.6-C/plugin/.claude/skills/p2p/vendors/tier1.md</x:v>
      </x:c>
      <x:c r="N133" s="22" t="str">
        <x:v>Giữ cả các file gốc trong source snapshot; runtime chỉ kích hoạt một bản canonical để tránh nạp kép. Snapshot chỉ là bằng chứng lịch sử; lớp LIVE mới phải có nguồn và ngày kiểm chứng.</x:v>
      </x:c>
      <x:c r="O133" s="22" t="str">
        <x:v>Reference LIVE có ngày kiểm chứng</x:v>
      </x:c>
      <x:c r="P133" s="22" t="str">
        <x:v>.agents/skills/p2p/references/legacy/live/tier1.md</x:v>
      </x:c>
      <x:c r="Q133" s="22" t="str">
        <x:v>KEEP_SOURCE + VERIFY_LIVE + REWRITE_NATIVE</x:v>
      </x:c>
      <x:c r="R133" s="22" t="str">
        <x:v>Thấp nếu chép nguyên · cao sau kiểm chứng</x:v>
      </x:c>
      <x:c r="S133" s="22" t="str">
        <x:v>Chỉ đọc như lịch sử; kiểm tra nguồn chính thức hiện hành trước khi áp dụng</x:v>
      </x:c>
      <x:c r="T133" s="22" t="str">
        <x:v>6 · LIVE &amp; tích hợp</x:v>
      </x:c>
      <x:c r="U133" s="22" t="str">
        <x:v>P1 · Cao</x:v>
      </x:c>
      <x:c r="V133" s="22" t="str">
        <x:v>Đã giữ nguồn; phải xác minh hiện hành</x:v>
      </x:c>
      <x:c r="W133" s="22" t="str">
        <x:v>Mỗi claim có nguồn chính thức + ngày kiểm chứng; cảnh báo stale; offline fallback không bịa dữ liệu.</x:v>
      </x:c>
      <x:c r="X133" s="22" t="str">
        <x:v>Tên model, giá, API và context có thể thay đổi; không coi snapshot là dữ liệu hiện hành. Đích đề xuất ban đầu: skills/p2p/references/live/vendor_tier1.md. Đích thực tế trong gói: .agents/skills/p2p/references/legacy/live/tier1.md. Bằng chứng: SOURCE_HASH_VERIFIED; FRESHNESS_GATE_REQUIRED.</x:v>
      </x:c>
      <x:c r="Y133" s="22" t="str">
        <x:v>https://learn.chatgpt.com/docs/build-skills</x:v>
      </x:c>
    </x:row>
    <x:row r="134" ht="68" customHeight="1">
      <x:c r="A134" s="23" t="n">
        <x:v>130</x:v>
      </x:c>
      <x:c r="B134" s="22" t="str">
        <x:v>8.4.6-C/plugin/.claude/skills/p2p/vendors/tier2.md</x:v>
      </x:c>
      <x:c r="C134" s="22" t="str">
        <x:v>tier2.md</x:v>
      </x:c>
      <x:c r="D134" s="22" t="str">
        <x:v>09 · Plugin: lõi P2P</x:v>
      </x:c>
      <x:c r="E134" s="23" t="str">
        <x:v>.md</x:v>
      </x:c>
      <x:c r="F134" s="24" t="n">
        <x:v>2946</x:v>
      </x:c>
      <x:c r="G134" s="23" t="str">
        <x:v>77202E54</x:v>
      </x:c>
      <x:c r="H134" s="22" t="str">
        <x:v>scope: Tier 2 balanced models — Claude Sonnet 5 (primary), Gemini 3.6 Flash, Gemini 3.5 Flash. For T1-3 production workloads.; version: 8.4.6-C; Tiêu đề: P2P — VENDORS TIER 2 (Balanced) / Claude Sonnet 5 (PRIMARY для v8C.3 Tier 2)</x:v>
      </x:c>
      <x:c r="I134" s="22" t="str">
        <x:v>Nhóm mô hình cân bằng chi phí/chất lượng theo ảnh chụp phát hành.</x:v>
      </x:c>
      <x:c r="J134" s="22" t="str">
        <x:v>Dữ liệu LIVE &amp; model/vendor</x:v>
      </x:c>
      <x:c r="K134" s="22" t="str">
        <x:v>Nguồn vận hành plugin Claude (canonical)</x:v>
      </x:c>
      <x:c r="L134" s="22" t="str">
        <x:v>Trùng byte với: 8.4.6-C/for-chat/vendors/tier2.md</x:v>
      </x:c>
      <x:c r="M134" s="22" t="str">
        <x:v>source/8.4.6-C/plugin/.claude/skills/p2p/vendors/tier2.md</x:v>
      </x:c>
      <x:c r="N134" s="22" t="str">
        <x:v>Giữ cả các file gốc trong source snapshot; runtime chỉ kích hoạt một bản canonical để tránh nạp kép. Snapshot chỉ là bằng chứng lịch sử; lớp LIVE mới phải có nguồn và ngày kiểm chứng.</x:v>
      </x:c>
      <x:c r="O134" s="22" t="str">
        <x:v>Reference LIVE có ngày kiểm chứng</x:v>
      </x:c>
      <x:c r="P134" s="22" t="str">
        <x:v>.agents/skills/p2p/references/legacy/live/tier2.md</x:v>
      </x:c>
      <x:c r="Q134" s="22" t="str">
        <x:v>KEEP_SOURCE + VERIFY_LIVE + REWRITE_NATIVE</x:v>
      </x:c>
      <x:c r="R134" s="22" t="str">
        <x:v>Thấp nếu chép nguyên · cao sau kiểm chứng</x:v>
      </x:c>
      <x:c r="S134" s="22" t="str">
        <x:v>Chỉ đọc như lịch sử; kiểm tra nguồn chính thức hiện hành trước khi áp dụng</x:v>
      </x:c>
      <x:c r="T134" s="22" t="str">
        <x:v>6 · LIVE &amp; tích hợp</x:v>
      </x:c>
      <x:c r="U134" s="22" t="str">
        <x:v>P1 · Cao</x:v>
      </x:c>
      <x:c r="V134" s="22" t="str">
        <x:v>Đã giữ nguồn; phải xác minh hiện hành</x:v>
      </x:c>
      <x:c r="W134" s="22" t="str">
        <x:v>Mỗi claim có nguồn chính thức + ngày kiểm chứng; cảnh báo stale; offline fallback không bịa dữ liệu.</x:v>
      </x:c>
      <x:c r="X134" s="22" t="str">
        <x:v>Tên model, giá, API và context có thể thay đổi; không coi snapshot là dữ liệu hiện hành. Đích đề xuất ban đầu: skills/p2p/references/live/vendor_tier2.md. Đích thực tế trong gói: .agents/skills/p2p/references/legacy/live/tier2.md. Bằng chứng: SOURCE_HASH_VERIFIED; FRESHNESS_GATE_REQUIRED.</x:v>
      </x:c>
      <x:c r="Y134" s="22" t="str">
        <x:v>https://learn.chatgpt.com/docs/build-skills</x:v>
      </x:c>
    </x:row>
    <x:row r="135" ht="68" customHeight="1">
      <x:c r="A135" s="23" t="n">
        <x:v>131</x:v>
      </x:c>
      <x:c r="B135" s="22" t="str">
        <x:v>8.4.6-C/plugin/.claude/skills/p2p/vendors/tier3.md</x:v>
      </x:c>
      <x:c r="C135" s="22" t="str">
        <x:v>tier3.md</x:v>
      </x:c>
      <x:c r="D135" s="22" t="str">
        <x:v>09 · Plugin: lõi P2P</x:v>
      </x:c>
      <x:c r="E135" s="23" t="str">
        <x:v>.md</x:v>
      </x:c>
      <x:c r="F135" s="24" t="n">
        <x:v>4682</x:v>
      </x:c>
      <x:c r="G135" s="23" t="str">
        <x:v>3D524F4D</x:v>
      </x:c>
      <x:c r="H135" s="22" t="str">
        <x:v>scope: Tier 3 high-quality — Claude Opus 5 (primary), Opus 4.8/4.7/4.6, Gemini 3.5/3.1 Pro, Grok 4.5/4.3 (incl. TARGET rules). For T2-4 demanding tasks.; version: 8.4.6-C; Tiêu đề: P2P — VENDORS TIER 3 (High-Quality) / Claude Opus 5 (PRIMARY для Tier 3-4)</x:v>
      </x:c>
      <x:c r="I135" s="22" t="str">
        <x:v>Nhóm mô hình chất lượng cao cho tác vụ khó theo ảnh chụp phát hành.</x:v>
      </x:c>
      <x:c r="J135" s="22" t="str">
        <x:v>Dữ liệu LIVE &amp; model/vendor</x:v>
      </x:c>
      <x:c r="K135" s="22" t="str">
        <x:v>Nguồn vận hành plugin Claude (canonical)</x:v>
      </x:c>
      <x:c r="L135" s="22" t="str">
        <x:v>Trùng byte với: 8.4.6-C/for-chat/vendors/tier3.md</x:v>
      </x:c>
      <x:c r="M135" s="22" t="str">
        <x:v>source/8.4.6-C/plugin/.claude/skills/p2p/vendors/tier3.md</x:v>
      </x:c>
      <x:c r="N135" s="22" t="str">
        <x:v>Giữ cả các file gốc trong source snapshot; runtime chỉ kích hoạt một bản canonical để tránh nạp kép. Snapshot chỉ là bằng chứng lịch sử; lớp LIVE mới phải có nguồn và ngày kiểm chứng.</x:v>
      </x:c>
      <x:c r="O135" s="22" t="str">
        <x:v>Reference LIVE có ngày kiểm chứng</x:v>
      </x:c>
      <x:c r="P135" s="22" t="str">
        <x:v>.agents/skills/p2p/references/legacy/live/tier3.md</x:v>
      </x:c>
      <x:c r="Q135" s="22" t="str">
        <x:v>KEEP_SOURCE + VERIFY_LIVE + REWRITE_NATIVE</x:v>
      </x:c>
      <x:c r="R135" s="22" t="str">
        <x:v>Thấp nếu chép nguyên · cao sau kiểm chứng</x:v>
      </x:c>
      <x:c r="S135" s="22" t="str">
        <x:v>Chỉ đọc như lịch sử; kiểm tra nguồn chính thức hiện hành trước khi áp dụng</x:v>
      </x:c>
      <x:c r="T135" s="22" t="str">
        <x:v>6 · LIVE &amp; tích hợp</x:v>
      </x:c>
      <x:c r="U135" s="22" t="str">
        <x:v>P1 · Cao</x:v>
      </x:c>
      <x:c r="V135" s="22" t="str">
        <x:v>Đã giữ nguồn; phải xác minh hiện hành</x:v>
      </x:c>
      <x:c r="W135" s="22" t="str">
        <x:v>Mỗi claim có nguồn chính thức + ngày kiểm chứng; cảnh báo stale; offline fallback không bịa dữ liệu.</x:v>
      </x:c>
      <x:c r="X135" s="22" t="str">
        <x:v>Tên model, giá, API và context có thể thay đổi; không coi snapshot là dữ liệu hiện hành. Đích đề xuất ban đầu: skills/p2p/references/live/vendor_tier3.md. Đích thực tế trong gói: .agents/skills/p2p/references/legacy/live/tier3.md. Bằng chứng: SOURCE_HASH_VERIFIED; FRESHNESS_GATE_REQUIRED.</x:v>
      </x:c>
      <x:c r="Y135" s="22" t="str">
        <x:v>https://learn.chatgpt.com/docs/build-skills</x:v>
      </x:c>
    </x:row>
    <x:row r="136" ht="68" customHeight="1">
      <x:c r="A136" s="23" t="n">
        <x:v>132</x:v>
      </x:c>
      <x:c r="B136" s="22" t="str">
        <x:v>8.4.6-C/plugin/.claude/skills/p2p/vendors/tier4.md</x:v>
      </x:c>
      <x:c r="C136" s="22" t="str">
        <x:v>tier4.md</x:v>
      </x:c>
      <x:c r="D136" s="22" t="str">
        <x:v>09 · Plugin: lõi P2P</x:v>
      </x:c>
      <x:c r="E136" s="23" t="str">
        <x:v>.md</x:v>
      </x:c>
      <x:c r="F136" s="24" t="n">
        <x:v>5683</x:v>
      </x:c>
      <x:c r="G136" s="23" t="str">
        <x:v>E2130F54</x:v>
      </x:c>
      <x:c r="H136" s="22" t="str">
        <x:v>scope: Tier 4 maximum quality — Claude Opus 5, Fable 5, Opus 4.8, GPT-5.6 Sol, Grok 4.20 Heavy. For T3-4 critical high-stakes tasks.; version: 8.4.6-C; Tiêu đề: P2P — VENDORS TIER 4 (Maximum Quality) / Claude Opus 5 (PRIMARY frontier)</x:v>
      </x:c>
      <x:c r="I136" s="22" t="str">
        <x:v>Nhóm mô hình chất lượng tối đa cho tác vụ quan trọng theo ảnh chụp phát hành.</x:v>
      </x:c>
      <x:c r="J136" s="22" t="str">
        <x:v>Dữ liệu LIVE &amp; model/vendor</x:v>
      </x:c>
      <x:c r="K136" s="22" t="str">
        <x:v>Nguồn vận hành plugin Claude (canonical)</x:v>
      </x:c>
      <x:c r="L136" s="22" t="str">
        <x:v>Trùng byte với: 8.4.6-C/for-chat/vendors/tier4.md</x:v>
      </x:c>
      <x:c r="M136" s="22" t="str">
        <x:v>source/8.4.6-C/plugin/.claude/skills/p2p/vendors/tier4.md</x:v>
      </x:c>
      <x:c r="N136" s="22" t="str">
        <x:v>Giữ cả các file gốc trong source snapshot; runtime chỉ kích hoạt một bản canonical để tránh nạp kép. Snapshot chỉ là bằng chứng lịch sử; lớp LIVE mới phải có nguồn và ngày kiểm chứng.</x:v>
      </x:c>
      <x:c r="O136" s="22" t="str">
        <x:v>Reference LIVE có ngày kiểm chứng</x:v>
      </x:c>
      <x:c r="P136" s="22" t="str">
        <x:v>.agents/skills/p2p/references/legacy/live/tier4.md</x:v>
      </x:c>
      <x:c r="Q136" s="22" t="str">
        <x:v>KEEP_SOURCE + VERIFY_LIVE + REWRITE_NATIVE</x:v>
      </x:c>
      <x:c r="R136" s="22" t="str">
        <x:v>Thấp nếu chép nguyên · cao sau kiểm chứng</x:v>
      </x:c>
      <x:c r="S136" s="22" t="str">
        <x:v>Chỉ đọc như lịch sử; kiểm tra nguồn chính thức hiện hành trước khi áp dụng</x:v>
      </x:c>
      <x:c r="T136" s="22" t="str">
        <x:v>6 · LIVE &amp; tích hợp</x:v>
      </x:c>
      <x:c r="U136" s="22" t="str">
        <x:v>P1 · Cao</x:v>
      </x:c>
      <x:c r="V136" s="22" t="str">
        <x:v>Đã giữ nguồn; phải xác minh hiện hành</x:v>
      </x:c>
      <x:c r="W136" s="22" t="str">
        <x:v>Mỗi claim có nguồn chính thức + ngày kiểm chứng; cảnh báo stale; offline fallback không bịa dữ liệu.</x:v>
      </x:c>
      <x:c r="X136" s="22" t="str">
        <x:v>Tên model, giá, API và context có thể thay đổi; không coi snapshot là dữ liệu hiện hành. Đích đề xuất ban đầu: skills/p2p/references/live/vendor_tier4.md. Đích thực tế trong gói: .agents/skills/p2p/references/legacy/live/tier4.md. Bằng chứng: SOURCE_HASH_VERIFIED; FRESHNESS_GATE_REQUIRED.</x:v>
      </x:c>
      <x:c r="Y136" s="22" t="str">
        <x:v>https://learn.chatgpt.com/docs/build-skills</x:v>
      </x:c>
    </x:row>
    <x:row r="137" ht="68" customHeight="1">
      <x:c r="A137" s="23" t="n">
        <x:v>133</x:v>
      </x:c>
      <x:c r="B137" s="22" t="str">
        <x:v>8.4.6-C/plugin/.claude/skills/p2p/visual_suite.md</x:v>
      </x:c>
      <x:c r="C137" s="22" t="str">
        <x:v>visual_suite.md</x:v>
      </x:c>
      <x:c r="D137" s="22" t="str">
        <x:v>09 · Plugin: lõi P2P</x:v>
      </x:c>
      <x:c r="E137" s="23" t="str">
        <x:v>.md</x:v>
      </x:c>
      <x:c r="F137" s="24" t="n">
        <x:v>7269</x:v>
      </x:c>
      <x:c r="G137" s="23" t="str">
        <x:v>1214B327</x:v>
      </x:c>
      <x:c r="H137" s="22" t="str">
        <x:v>version: 8.4.6-C; Tiêu đề: visual_suite.md — Visual / Video / Audio Suite (v8C.3) / §1. IMAGE STREAM</x:v>
      </x:c>
      <x:c r="I137" s="22" t="str">
        <x:v>Quy tắc làm việc với hình ảnh, video và âm thanh.</x:v>
      </x:c>
      <x:c r="J137" s="22" t="str">
        <x:v>Nội dung, media &amp; trình bày</x:v>
      </x:c>
      <x:c r="K137" s="22" t="str">
        <x:v>Nguồn vận hành plugin Claude (canonical)</x:v>
      </x:c>
      <x:c r="L137" s="22" t="str">
        <x:v>Cùng chức năng/biến thể triển khai với: 8.4.6-C/for-chat/!visual.md</x:v>
      </x:c>
      <x:c r="M137" s="22" t="str">
        <x:v>source/8.4.6-C/plugin/.claude/skills/p2p/visual_suite.md</x:v>
      </x:c>
      <x:c r="N137" s="22" t="str">
        <x:v>Giữ cả các file gốc trong source snapshot; runtime chỉ kích hoạt một bản canonical để tránh nạp kép.</x:v>
      </x:c>
      <x:c r="O137" s="22" t="str">
        <x:v>Reference on-demand</x:v>
      </x:c>
      <x:c r="P137" s="22" t="str">
        <x:v>.agents/skills/p2p/references/legacy/visual_suite.md</x:v>
      </x:c>
      <x:c r="Q137" s="22" t="str">
        <x:v>KEEP_SOURCE + TRANSLATE_SEMANTICS</x:v>
      </x:c>
      <x:c r="R137" s="22" t="str">
        <x:v>Cao về kiến thức · cần bỏ giả định Claude</x:v>
      </x:c>
      <x:c r="S137" s="22" t="str">
        <x:v>Skill Codex chỉ đọc reference này khi nhiệm vụ cần; không preload toàn bộ</x:v>
      </x:c>
      <x:c r="T137" s="22" t="str">
        <x:v>5 · Mô-đun mở rộng</x:v>
      </x:c>
      <x:c r="U137" s="22" t="str">
        <x:v>P2 · Trung bình</x:v>
      </x:c>
      <x:c r="V137" s="22" t="str">
        <x:v>Đã giữ reference; nạp theo nhu cầu</x:v>
      </x:c>
      <x:c r="W137" s="22" t="str">
        <x:v>CRC nguồn khớp; nội dung không mất; reference chỉ nạp khi cần; 3 ca parity và một ca không kích hoạt ngoài ý muốn.</x:v>
      </x:c>
      <x:c r="X137" s="22" t="str">
        <x:v>Không thấy rủi ro riêng ngoài yêu cầu parity và truy vết nguồn. Đích đề xuất ban đầu: skills/p2p/references/visual_suite.md. Đích thực tế trong gói: .agents/skills/p2p/references/legacy/visual_suite.md. Bằng chứng: SOURCE_HASH_VERIFIED; TARGET_PRESENT; ON_DEMAND_LOAD.</x:v>
      </x:c>
      <x:c r="Y137" s="22" t="str">
        <x:v>https://learn.chatgpt.com/docs/build-skills</x:v>
      </x:c>
    </x:row>
    <x:row r="138" ht="68" customHeight="1">
      <x:c r="A138" s="23" t="n">
        <x:v>134</x:v>
      </x:c>
      <x:c r="B138" s="22" t="str">
        <x:v>8.4.6-C/plugin/.claude/skills/p2p/writing_suite.md</x:v>
      </x:c>
      <x:c r="C138" s="22" t="str">
        <x:v>writing_suite.md</x:v>
      </x:c>
      <x:c r="D138" s="22" t="str">
        <x:v>09 · Plugin: lõi P2P</x:v>
      </x:c>
      <x:c r="E138" s="23" t="str">
        <x:v>.md</x:v>
      </x:c>
      <x:c r="F138" s="24" t="n">
        <x:v>13183</x:v>
      </x:c>
      <x:c r="G138" s="23" t="str">
        <x:v>7A06EF24</x:v>
      </x:c>
      <x:c r="H138" s="22" t="str">
        <x:v>version: 8.4.6-C; Tiêu đề: writing_suite.md — Writing Quality Control / §1. CONSTRAINT vs PRESSURE PROMPTING</x:v>
      </x:c>
      <x:c r="I138" s="22" t="str">
        <x:v>Kiểm soát chất lượng viết và các mẫu ràng buộc cho nội dung.</x:v>
      </x:c>
      <x:c r="J138" s="22" t="str">
        <x:v>Nội dung, media &amp; trình bày</x:v>
      </x:c>
      <x:c r="K138" s="22" t="str">
        <x:v>Nguồn vận hành plugin Claude (canonical)</x:v>
      </x:c>
      <x:c r="L138" s="22" t="str">
        <x:v>Cùng chức năng/biến thể triển khai với: 8.4.6-C/for-chat/!writing.md</x:v>
      </x:c>
      <x:c r="M138" s="22" t="str">
        <x:v>source/8.4.6-C/plugin/.claude/skills/p2p/writing_suite.md</x:v>
      </x:c>
      <x:c r="N138" s="22" t="str">
        <x:v>Giữ cả các file gốc trong source snapshot; runtime chỉ kích hoạt một bản canonical để tránh nạp kép.</x:v>
      </x:c>
      <x:c r="O138" s="22" t="str">
        <x:v>Reference on-demand</x:v>
      </x:c>
      <x:c r="P138" s="22" t="str">
        <x:v>.agents/skills/p2p/references/legacy/writing_suite.md</x:v>
      </x:c>
      <x:c r="Q138" s="22" t="str">
        <x:v>KEEP_SOURCE + TRANSLATE_SEMANTICS</x:v>
      </x:c>
      <x:c r="R138" s="22" t="str">
        <x:v>Cao về kiến thức · cần bỏ giả định Claude</x:v>
      </x:c>
      <x:c r="S138" s="22" t="str">
        <x:v>Skill Codex chỉ đọc reference này khi nhiệm vụ cần; không preload toàn bộ</x:v>
      </x:c>
      <x:c r="T138" s="22" t="str">
        <x:v>5 · Mô-đun mở rộng</x:v>
      </x:c>
      <x:c r="U138" s="22" t="str">
        <x:v>P2 · Trung bình</x:v>
      </x:c>
      <x:c r="V138" s="22" t="str">
        <x:v>Đã giữ reference; nạp theo nhu cầu</x:v>
      </x:c>
      <x:c r="W138" s="22" t="str">
        <x:v>CRC nguồn khớp; nội dung không mất; reference chỉ nạp khi cần; 3 ca parity và một ca không kích hoạt ngoài ý muốn.</x:v>
      </x:c>
      <x:c r="X138" s="22" t="str">
        <x:v>Không thấy rủi ro riêng ngoài yêu cầu parity và truy vết nguồn. Đích đề xuất ban đầu: skills/p2p/references/writing_suite.md. Đích thực tế trong gói: .agents/skills/p2p/references/legacy/writing_suite.md. Bằng chứng: SOURCE_HASH_VERIFIED; TARGET_PRESENT; ON_DEMAND_LOAD.</x:v>
      </x:c>
      <x:c r="Y138" s="22" t="str">
        <x:v>https://learn.chatgpt.com/docs/build-skills</x:v>
      </x:c>
    </x:row>
    <x:row r="139" ht="68" customHeight="1">
      <x:c r="A139" s="23" t="n">
        <x:v>135</x:v>
      </x:c>
      <x:c r="B139" s="22" t="str">
        <x:v>8.4.6-C/plugin/.claude/skills/pxpipe/SKILL.md</x:v>
      </x:c>
      <x:c r="C139" s="22" t="str">
        <x:v>SKILL.md</x:v>
      </x:c>
      <x:c r="D139" s="22" t="str">
        <x:v>11 · Plugin: PXPIPE</x:v>
      </x:c>
      <x:c r="E139" s="23" t="str">
        <x:v>.md</x:v>
      </x:c>
      <x:c r="F139" s="24" t="n">
        <x:v>5494</x:v>
      </x:c>
      <x:c r="G139" s="23" t="str">
        <x:v>343F09F2</x:v>
      </x:c>
      <x:c r="H139" s="22" t="str">
        <x:v>name: pxpipe-compressor; description: P2P-агент executor: оптическое сжатие объёмного НАРРАТИВА (история QUORUM, аналитика, логи рассуждений) в PNG для экономии токенов при передаче стейта следующему агенту. Только на reader-модели (Fable 5). Политику решает compression.md / agents.md.; Tiêu đề: Skill: Оптический executor P2P (pxpipe) / Что делает</x:v>
      </x:c>
      <x:c r="I139" s="22" t="str">
        <x:v>Skill thực thi nén handoff dạng ảnh cho các model đọc ảnh phù hợp.</x:v>
      </x:c>
      <x:c r="J139" s="22" t="str">
        <x:v>Nén ngữ cảnh &amp; PXPIPE</x:v>
      </x:c>
      <x:c r="K139" s="22" t="str">
        <x:v>Executor thử nghiệm và phụ thuộc Node</x:v>
      </x:c>
      <x:c r="L139" s="22" t="str">
        <x:v>Không phát hiện cặp tương ứng rõ ràng.</x:v>
      </x:c>
      <x:c r="M139" s="22" t="str">
        <x:v>source/8.4.6-C/plugin/.claude/skills/pxpipe/SKILL.md</x:v>
      </x:c>
      <x:c r="N139" s="22" t="str">
        <x:v>Giữ nguyên byte trong source/8.4.6-C; bản Codex ghi đường dẫn nguồn và CRC.</x:v>
      </x:c>
      <x:c r="O139" s="22" t="str">
        <x:v>Skill tùy chọn</x:v>
      </x:c>
      <x:c r="P139" s="22" t="str">
        <x:v>.agents/skills/pxpipe/SKILL.md</x:v>
      </x:c>
      <x:c r="Q139" s="22" t="str">
        <x:v>KEEP_SOURCE + PORT_SCRIPT + OPTIONAL_GATE</x:v>
      </x:c>
      <x:c r="R139" s="22" t="str">
        <x:v>Điều kiện · phải chứng minh lợi ích/độ đúng</x:v>
      </x:c>
      <x:c r="S139" s="22" t="str">
        <x:v>Không tự kích hoạt; chỉ audit khi người dùng gọi rõ $p2p-pxpipe</x:v>
      </x:c>
      <x:c r="T139" s="22" t="str">
        <x:v>7 · Skill phụ &amp; PXPIPE</x:v>
      </x:c>
      <x:c r="U139" s="22" t="str">
        <x:v>P3 · Tùy chọn</x:v>
      </x:c>
      <x:c r="V139" s="22" t="str">
        <x:v>Đã giữ nguồn; mặc định tắt chờ kiểm toán</x:v>
      </x:c>
      <x:c r="W139" s="22" t="str">
        <x:v>Nguồn/hash còn đủ; component bị chặn kích hoạt cho tới khi audit dependency, bảo mật và hành vi OpenAI hiện hành.</x:v>
      </x:c>
      <x:c r="X139" s="22" t="str">
        <x:v>Không bật mặc định; lợi ích phụ thuộc model đọc ảnh, độ chính xác và chi phí encode/decode. Đích đề xuất ban đầu: skills/pxpipe/SKILL.md. Đích thực tế trong gói: .agents/skills/pxpipe/SKILL.md. Bằng chứng: SOURCE_HASH_VERIFIED; ACTIVE_INVOCATION_BLOCKED.</x:v>
      </x:c>
      <x:c r="Y139" s="22" t="str">
        <x:v>https://learn.chatgpt.com/docs/build-skills</x:v>
      </x:c>
    </x:row>
    <x:row r="140" ht="68" customHeight="1">
      <x:c r="A140" s="23" t="n">
        <x:v>136</x:v>
      </x:c>
      <x:c r="B140" s="22" t="str">
        <x:v>8.4.6-C/plugin/.claude/skills/pxpipe/VERIFICATION.md</x:v>
      </x:c>
      <x:c r="C140" s="22" t="str">
        <x:v>VERIFICATION.md</x:v>
      </x:c>
      <x:c r="D140" s="22" t="str">
        <x:v>11 · Plugin: PXPIPE</x:v>
      </x:c>
      <x:c r="E140" s="23" t="str">
        <x:v>.md</x:v>
      </x:c>
      <x:c r="F140" s="24" t="n">
        <x:v>7408</x:v>
      </x:c>
      <x:c r="G140" s="23" t="str">
        <x:v>7C3A8655</x:v>
      </x:c>
      <x:c r="H140" s="22" t="str">
        <x:v>Tiêu đề: pxpipe × P2P — verification log &amp; Fable-5 test plan / Environment (verified 2026-07-07)</x:v>
      </x:c>
      <x:c r="I140" s="22" t="str">
        <x:v>Nhật ký xác minh và kế hoạch thử nghiệm PXPIPE.</x:v>
      </x:c>
      <x:c r="J140" s="22" t="str">
        <x:v>Nén ngữ cảnh &amp; PXPIPE</x:v>
      </x:c>
      <x:c r="K140" s="22" t="str">
        <x:v>Executor thử nghiệm và phụ thuộc Node</x:v>
      </x:c>
      <x:c r="L140" s="22" t="str">
        <x:v>Không phát hiện cặp tương ứng rõ ràng.</x:v>
      </x:c>
      <x:c r="M140" s="22" t="str">
        <x:v>source/8.4.6-C/plugin/.claude/skills/pxpipe/VERIFICATION.md</x:v>
      </x:c>
      <x:c r="N140" s="22" t="str">
        <x:v>Giữ nguyên byte trong source/8.4.6-C; bản Codex ghi đường dẫn nguồn và CRC.</x:v>
      </x:c>
      <x:c r="O140" s="22" t="str">
        <x:v>Tài sản/phụ thuộc skill</x:v>
      </x:c>
      <x:c r="P140" s="22" t="str">
        <x:v>.agents/skills/pxpipe/VERIFICATION.md</x:v>
      </x:c>
      <x:c r="Q140" s="22" t="str">
        <x:v>KEEP_SOURCE + ADAPT_DOCS + RETEST</x:v>
      </x:c>
      <x:c r="R140" s="22" t="str">
        <x:v>Điều kiện · kết quả cũ không đủ</x:v>
      </x:c>
      <x:c r="S140" s="22" t="str">
        <x:v>Không tự kích hoạt; chỉ audit khi người dùng gọi rõ $p2p-pxpipe</x:v>
      </x:c>
      <x:c r="T140" s="22" t="str">
        <x:v>7 · Skill phụ &amp; PXPIPE</x:v>
      </x:c>
      <x:c r="U140" s="22" t="str">
        <x:v>P3 · Tùy chọn</x:v>
      </x:c>
      <x:c r="V140" s="22" t="str">
        <x:v>Đã giữ nguồn; mặc định tắt chờ kiểm toán</x:v>
      </x:c>
      <x:c r="W140" s="22" t="str">
        <x:v>Nguồn/hash còn đủ; component bị chặn kích hoạt cho tới khi audit dependency, bảo mật và hành vi OpenAI hiện hành.</x:v>
      </x:c>
      <x:c r="X140" s="22" t="str">
        <x:v>Không bật mặc định; lợi ích phụ thuộc model đọc ảnh, độ chính xác và chi phí encode/decode. Đích đề xuất ban đầu: skills/pxpipe/VERIFICATION.md. Đích thực tế trong gói: .agents/skills/pxpipe/VERIFICATION.md. Bằng chứng: SOURCE_HASH_VERIFIED; ACTIVE_INVOCATION_BLOCKED.</x:v>
      </x:c>
      <x:c r="Y140" s="22" t="str">
        <x:v>https://learn.chatgpt.com/docs/build-skills</x:v>
      </x:c>
    </x:row>
    <x:row r="141" ht="68" customHeight="1">
      <x:c r="A141" s="23" t="n">
        <x:v>137</x:v>
      </x:c>
      <x:c r="B141" s="22" t="str">
        <x:v>8.4.6-C/plugin/.claude/skills/pxpipe/byte-guard.mjs</x:v>
      </x:c>
      <x:c r="C141" s="22" t="str">
        <x:v>byte-guard.mjs</x:v>
      </x:c>
      <x:c r="D141" s="22" t="str">
        <x:v>11 · Plugin: PXPIPE</x:v>
      </x:c>
      <x:c r="E141" s="23" t="str">
        <x:v>.mjs</x:v>
      </x:c>
      <x:c r="F141" s="24" t="n">
        <x:v>2430</x:v>
      </x:c>
      <x:c r="G141" s="23" t="str">
        <x:v>93E50011</x:v>
      </x:c>
      <x:c r="H141" s="22" t="str">
        <x:v>// BYTE-GUARD — scans text for byte-exact tokens that optical compression must NOT</x:v>
      </x:c>
      <x:c r="I141" s="22" t="str">
        <x:v>Script phát hiện token/chuỗi cần giữ nguyên byte, không được đưa qua nén quang học.</x:v>
      </x:c>
      <x:c r="J141" s="22" t="str">
        <x:v>An toàn &amp; quyền kiểm soát</x:v>
      </x:c>
      <x:c r="K141" s="22" t="str">
        <x:v>Executor thử nghiệm và phụ thuộc Node</x:v>
      </x:c>
      <x:c r="L141" s="22" t="str">
        <x:v>Không phát hiện cặp tương ứng rõ ràng.</x:v>
      </x:c>
      <x:c r="M141" s="22" t="str">
        <x:v>source/8.4.6-C/plugin/.claude/skills/pxpipe/byte-guard.mjs</x:v>
      </x:c>
      <x:c r="N141" s="22" t="str">
        <x:v>Giữ nguyên byte trong source/8.4.6-C; bản Codex ghi đường dẫn nguồn và CRC. Mọi port được tạo ở file mới, không sửa mã nguồn snapshot.</x:v>
      </x:c>
      <x:c r="O141" s="22" t="str">
        <x:v>Script tùy chọn</x:v>
      </x:c>
      <x:c r="P141" s="22" t="str">
        <x:v>.agents/skills/pxpipe/scripts/byte-guard.mjs</x:v>
      </x:c>
      <x:c r="Q141" s="22" t="str">
        <x:v>KEEP_SOURCE + PORT_SCRIPT + OPTIONAL_GATE</x:v>
      </x:c>
      <x:c r="R141" s="22" t="str">
        <x:v>Điều kiện · phải chứng minh lợi ích/độ đúng</x:v>
      </x:c>
      <x:c r="S141" s="22" t="str">
        <x:v>Không tự kích hoạt; chỉ audit khi người dùng gọi rõ $p2p-pxpipe</x:v>
      </x:c>
      <x:c r="T141" s="22" t="str">
        <x:v>7 · Skill phụ &amp; PXPIPE</x:v>
      </x:c>
      <x:c r="U141" s="22" t="str">
        <x:v>P3 · Tùy chọn</x:v>
      </x:c>
      <x:c r="V141" s="22" t="str">
        <x:v>Đã giữ nguồn; mặc định tắt chờ kiểm toán</x:v>
      </x:c>
      <x:c r="W141" s="22" t="str">
        <x:v>Nguồn/hash còn đủ; component bị chặn kích hoạt cho tới khi audit dependency, bảo mật và hành vi OpenAI hiện hành.</x:v>
      </x:c>
      <x:c r="X141" s="22" t="str">
        <x:v>Không thấy rủi ro riêng ngoài yêu cầu parity và truy vết nguồn. Đích đề xuất ban đầu: skills/pxpipe/scripts/byte-guard.mjs. Đích thực tế trong gói: .agents/skills/pxpipe/scripts/byte-guard.mjs. Bằng chứng: SOURCE_HASH_VERIFIED; ACTIVE_INVOCATION_BLOCKED.</x:v>
      </x:c>
      <x:c r="Y141" s="22" t="str">
        <x:v>https://learn.chatgpt.com/docs/build-skills</x:v>
      </x:c>
    </x:row>
    <x:row r="142" ht="68" customHeight="1">
      <x:c r="A142" s="23" t="n">
        <x:v>138</x:v>
      </x:c>
      <x:c r="B142" s="22" t="str">
        <x:v>8.4.6-C/plugin/.claude/skills/pxpipe/compress.mjs</x:v>
      </x:c>
      <x:c r="C142" s="22" t="str">
        <x:v>compress.mjs</x:v>
      </x:c>
      <x:c r="D142" s="22" t="str">
        <x:v>11 · Plugin: PXPIPE</x:v>
      </x:c>
      <x:c r="E142" s="23" t="str">
        <x:v>.mjs</x:v>
      </x:c>
      <x:c r="F142" s="24" t="n">
        <x:v>5595</x:v>
      </x:c>
      <x:c r="G142" s="23" t="str">
        <x:v>F3EC71E8</x:v>
      </x:c>
      <x:c r="H142" s="22" t="str">
        <x:v>#!/usr/bin/env node</x:v>
      </x:c>
      <x:c r="I142" s="22" t="str">
        <x:v>Script nén nội dung tường thuật thành ảnh PNG đậm đặc.</x:v>
      </x:c>
      <x:c r="J142" s="22" t="str">
        <x:v>Nén ngữ cảnh &amp; PXPIPE</x:v>
      </x:c>
      <x:c r="K142" s="22" t="str">
        <x:v>Executor thử nghiệm và phụ thuộc Node</x:v>
      </x:c>
      <x:c r="L142" s="22" t="str">
        <x:v>Không phát hiện cặp tương ứng rõ ràng.</x:v>
      </x:c>
      <x:c r="M142" s="22" t="str">
        <x:v>source/8.4.6-C/plugin/.claude/skills/pxpipe/compress.mjs</x:v>
      </x:c>
      <x:c r="N142" s="22" t="str">
        <x:v>Giữ nguyên byte trong source/8.4.6-C; bản Codex ghi đường dẫn nguồn và CRC. Mọi port được tạo ở file mới, không sửa mã nguồn snapshot.</x:v>
      </x:c>
      <x:c r="O142" s="22" t="str">
        <x:v>Script tùy chọn</x:v>
      </x:c>
      <x:c r="P142" s="22" t="str">
        <x:v>.agents/skills/pxpipe/scripts/compress.mjs</x:v>
      </x:c>
      <x:c r="Q142" s="22" t="str">
        <x:v>KEEP_SOURCE + PORT_SCRIPT + OPTIONAL_GATE</x:v>
      </x:c>
      <x:c r="R142" s="22" t="str">
        <x:v>Điều kiện · phải chứng minh lợi ích/độ đúng</x:v>
      </x:c>
      <x:c r="S142" s="22" t="str">
        <x:v>Không tự kích hoạt; chỉ audit khi người dùng gọi rõ $p2p-pxpipe</x:v>
      </x:c>
      <x:c r="T142" s="22" t="str">
        <x:v>7 · Skill phụ &amp; PXPIPE</x:v>
      </x:c>
      <x:c r="U142" s="22" t="str">
        <x:v>P3 · Tùy chọn</x:v>
      </x:c>
      <x:c r="V142" s="22" t="str">
        <x:v>Đã giữ nguồn; mặc định tắt chờ kiểm toán</x:v>
      </x:c>
      <x:c r="W142" s="22" t="str">
        <x:v>Nguồn/hash còn đủ; component bị chặn kích hoạt cho tới khi audit dependency, bảo mật và hành vi OpenAI hiện hành.</x:v>
      </x:c>
      <x:c r="X142" s="22" t="str">
        <x:v>Không bật mặc định; lợi ích phụ thuộc model đọc ảnh, độ chính xác và chi phí encode/decode. Đích đề xuất ban đầu: skills/pxpipe/scripts/compress.mjs. Đích thực tế trong gói: .agents/skills/pxpipe/scripts/compress.mjs. Bằng chứng: SOURCE_HASH_VERIFIED; ACTIVE_INVOCATION_BLOCKED.</x:v>
      </x:c>
      <x:c r="Y142" s="22" t="str">
        <x:v>https://learn.chatgpt.com/docs/build-skills</x:v>
      </x:c>
    </x:row>
    <x:row r="143" ht="68" customHeight="1">
      <x:c r="A143" s="23" t="n">
        <x:v>139</x:v>
      </x:c>
      <x:c r="B143" s="22" t="str">
        <x:v>8.4.6-C/plugin/.claude/skills/pxpipe/lib-resolve.mjs</x:v>
      </x:c>
      <x:c r="C143" s="22" t="str">
        <x:v>lib-resolve.mjs</x:v>
      </x:c>
      <x:c r="D143" s="22" t="str">
        <x:v>11 · Plugin: PXPIPE</x:v>
      </x:c>
      <x:c r="E143" s="23" t="str">
        <x:v>.mjs</x:v>
      </x:c>
      <x:c r="F143" s="24" t="n">
        <x:v>1143</x:v>
      </x:c>
      <x:c r="G143" s="23" t="str">
        <x:v>075F707E</x:v>
      </x:c>
      <x:c r="H143" s="22" t="str">
        <x:v>// Resolve the pxpipe library in a portable, shippable way.</x:v>
      </x:c>
      <x:c r="I143" s="22" t="str">
        <x:v>Script tìm và nạp thư viện PXPIPE theo cách có thể đóng gói.</x:v>
      </x:c>
      <x:c r="J143" s="22" t="str">
        <x:v>Nén ngữ cảnh &amp; PXPIPE</x:v>
      </x:c>
      <x:c r="K143" s="22" t="str">
        <x:v>Executor thử nghiệm và phụ thuộc Node</x:v>
      </x:c>
      <x:c r="L143" s="22" t="str">
        <x:v>Không phát hiện cặp tương ứng rõ ràng.</x:v>
      </x:c>
      <x:c r="M143" s="22" t="str">
        <x:v>source/8.4.6-C/plugin/.claude/skills/pxpipe/lib-resolve.mjs</x:v>
      </x:c>
      <x:c r="N143" s="22" t="str">
        <x:v>Giữ nguyên byte trong source/8.4.6-C; bản Codex ghi đường dẫn nguồn và CRC. Mọi port được tạo ở file mới, không sửa mã nguồn snapshot.</x:v>
      </x:c>
      <x:c r="O143" s="22" t="str">
        <x:v>Script tùy chọn</x:v>
      </x:c>
      <x:c r="P143" s="22" t="str">
        <x:v>.agents/skills/pxpipe/scripts/lib-resolve.mjs</x:v>
      </x:c>
      <x:c r="Q143" s="22" t="str">
        <x:v>KEEP_SOURCE + PORT_SCRIPT + OPTIONAL_GATE</x:v>
      </x:c>
      <x:c r="R143" s="22" t="str">
        <x:v>Điều kiện · phải chứng minh lợi ích/độ đúng</x:v>
      </x:c>
      <x:c r="S143" s="22" t="str">
        <x:v>Không tự kích hoạt; chỉ audit khi người dùng gọi rõ $p2p-pxpipe</x:v>
      </x:c>
      <x:c r="T143" s="22" t="str">
        <x:v>7 · Skill phụ &amp; PXPIPE</x:v>
      </x:c>
      <x:c r="U143" s="22" t="str">
        <x:v>P3 · Tùy chọn</x:v>
      </x:c>
      <x:c r="V143" s="22" t="str">
        <x:v>Đã giữ nguồn; mặc định tắt chờ kiểm toán</x:v>
      </x:c>
      <x:c r="W143" s="22" t="str">
        <x:v>Nguồn/hash còn đủ; component bị chặn kích hoạt cho tới khi audit dependency, bảo mật và hành vi OpenAI hiện hành.</x:v>
      </x:c>
      <x:c r="X143" s="22" t="str">
        <x:v>Không bật mặc định; lợi ích phụ thuộc model đọc ảnh, độ chính xác và chi phí encode/decode. Đích đề xuất ban đầu: skills/pxpipe/scripts/lib-resolve.mjs. Đích thực tế trong gói: .agents/skills/pxpipe/scripts/lib-resolve.mjs. Bằng chứng: SOURCE_HASH_VERIFIED; ACTIVE_INVOCATION_BLOCKED.</x:v>
      </x:c>
      <x:c r="Y143" s="22" t="str">
        <x:v>https://learn.chatgpt.com/docs/build-skills</x:v>
      </x:c>
    </x:row>
    <x:row r="144" ht="68" customHeight="1">
      <x:c r="A144" s="23" t="n">
        <x:v>140</x:v>
      </x:c>
      <x:c r="B144" s="22" t="str">
        <x:v>8.4.6-C/plugin/.claude/skills/pxpipe/measure.mjs</x:v>
      </x:c>
      <x:c r="C144" s="22" t="str">
        <x:v>measure.mjs</x:v>
      </x:c>
      <x:c r="D144" s="22" t="str">
        <x:v>11 · Plugin: PXPIPE</x:v>
      </x:c>
      <x:c r="E144" s="23" t="str">
        <x:v>.mjs</x:v>
      </x:c>
      <x:c r="F144" s="24" t="n">
        <x:v>3970</x:v>
      </x:c>
      <x:c r="G144" s="23" t="str">
        <x:v>61F240E2</x:v>
      </x:c>
      <x:c r="H144" s="22" t="str">
        <x:v>#!/usr/bin/env node</x:v>
      </x:c>
      <x:c r="I144" s="22" t="str">
        <x:v>Script đo kích thước/chi phí trước và sau nén.</x:v>
      </x:c>
      <x:c r="J144" s="22" t="str">
        <x:v>Nén ngữ cảnh &amp; PXPIPE</x:v>
      </x:c>
      <x:c r="K144" s="22" t="str">
        <x:v>Executor thử nghiệm và phụ thuộc Node</x:v>
      </x:c>
      <x:c r="L144" s="22" t="str">
        <x:v>Không phát hiện cặp tương ứng rõ ràng.</x:v>
      </x:c>
      <x:c r="M144" s="22" t="str">
        <x:v>source/8.4.6-C/plugin/.claude/skills/pxpipe/measure.mjs</x:v>
      </x:c>
      <x:c r="N144" s="22" t="str">
        <x:v>Giữ nguyên byte trong source/8.4.6-C; bản Codex ghi đường dẫn nguồn và CRC. Mọi port được tạo ở file mới, không sửa mã nguồn snapshot.</x:v>
      </x:c>
      <x:c r="O144" s="22" t="str">
        <x:v>Script tùy chọn</x:v>
      </x:c>
      <x:c r="P144" s="22" t="str">
        <x:v>.agents/skills/pxpipe/scripts/measure.mjs</x:v>
      </x:c>
      <x:c r="Q144" s="22" t="str">
        <x:v>KEEP_SOURCE + PORT_SCRIPT + OPTIONAL_GATE</x:v>
      </x:c>
      <x:c r="R144" s="22" t="str">
        <x:v>Điều kiện · phải chứng minh lợi ích/độ đúng</x:v>
      </x:c>
      <x:c r="S144" s="22" t="str">
        <x:v>Không tự kích hoạt; chỉ audit khi người dùng gọi rõ $p2p-pxpipe</x:v>
      </x:c>
      <x:c r="T144" s="22" t="str">
        <x:v>7 · Skill phụ &amp; PXPIPE</x:v>
      </x:c>
      <x:c r="U144" s="22" t="str">
        <x:v>P3 · Tùy chọn</x:v>
      </x:c>
      <x:c r="V144" s="22" t="str">
        <x:v>Đã giữ nguồn; mặc định tắt chờ kiểm toán</x:v>
      </x:c>
      <x:c r="W144" s="22" t="str">
        <x:v>Nguồn/hash còn đủ; component bị chặn kích hoạt cho tới khi audit dependency, bảo mật và hành vi OpenAI hiện hành.</x:v>
      </x:c>
      <x:c r="X144" s="22" t="str">
        <x:v>Không bật mặc định; lợi ích phụ thuộc model đọc ảnh, độ chính xác và chi phí encode/decode. Đích đề xuất ban đầu: skills/pxpipe/scripts/measure.mjs. Đích thực tế trong gói: .agents/skills/pxpipe/scripts/measure.mjs. Bằng chứng: SOURCE_HASH_VERIFIED; ACTIVE_INVOCATION_BLOCKED.</x:v>
      </x:c>
      <x:c r="Y144" s="22" t="str">
        <x:v>https://learn.chatgpt.com/docs/build-skills</x:v>
      </x:c>
    </x:row>
    <x:row r="145" ht="68" customHeight="1">
      <x:c r="A145" s="23" t="n">
        <x:v>141</x:v>
      </x:c>
      <x:c r="B145" s="22" t="str">
        <x:v>8.4.6-C/plugin/.claude/skills/pxpipe/package-lock.json</x:v>
      </x:c>
      <x:c r="C145" s="22" t="str">
        <x:v>package-lock.json</x:v>
      </x:c>
      <x:c r="D145" s="22" t="str">
        <x:v>11 · Plugin: PXPIPE</x:v>
      </x:c>
      <x:c r="E145" s="23" t="str">
        <x:v>.json</x:v>
      </x:c>
      <x:c r="F145" s="24" t="n">
        <x:v>1204</x:v>
      </x:c>
      <x:c r="G145" s="23" t="str">
        <x:v>C85987B3</x:v>
      </x:c>
      <x:c r="H145" s="22" t="str">
        <x:v>name=p2p-pxpipe-skill; version=2.0.0</x:v>
      </x:c>
      <x:c r="I145" s="22" t="str">
        <x:v>Khóa chính xác phiên bản phụ thuộc Node của PXPIPE.</x:v>
      </x:c>
      <x:c r="J145" s="22" t="str">
        <x:v>Nén ngữ cảnh &amp; PXPIPE</x:v>
      </x:c>
      <x:c r="K145" s="22" t="str">
        <x:v>Executor thử nghiệm và phụ thuộc Node</x:v>
      </x:c>
      <x:c r="L145" s="22" t="str">
        <x:v>Không phát hiện cặp tương ứng rõ ràng.</x:v>
      </x:c>
      <x:c r="M145" s="22" t="str">
        <x:v>source/8.4.6-C/plugin/.claude/skills/pxpipe/package-lock.json</x:v>
      </x:c>
      <x:c r="N145" s="22" t="str">
        <x:v>Giữ nguyên byte trong source/8.4.6-C; bản Codex ghi đường dẫn nguồn và CRC. Mọi port được tạo ở file mới, không sửa mã nguồn snapshot.</x:v>
      </x:c>
      <x:c r="O145" s="22" t="str">
        <x:v>Tài sản/phụ thuộc skill</x:v>
      </x:c>
      <x:c r="P145" s="22" t="str">
        <x:v>.agents/skills/pxpipe/package-lock.json</x:v>
      </x:c>
      <x:c r="Q145" s="22" t="str">
        <x:v>KEEP_SOURCE + REBUILD_DEPS + OPTIONAL_GATE</x:v>
      </x:c>
      <x:c r="R145" s="22" t="str">
        <x:v>Điều kiện · cần audit dependency</x:v>
      </x:c>
      <x:c r="S145" s="22" t="str">
        <x:v>Không tự kích hoạt; chỉ audit khi người dùng gọi rõ $p2p-pxpipe</x:v>
      </x:c>
      <x:c r="T145" s="22" t="str">
        <x:v>7 · Skill phụ &amp; PXPIPE</x:v>
      </x:c>
      <x:c r="U145" s="22" t="str">
        <x:v>P3 · Tùy chọn</x:v>
      </x:c>
      <x:c r="V145" s="22" t="str">
        <x:v>Đã giữ nguồn; mặc định tắt chờ kiểm toán</x:v>
      </x:c>
      <x:c r="W145" s="22" t="str">
        <x:v>Nguồn/hash còn đủ; component bị chặn kích hoạt cho tới khi audit dependency, bảo mật và hành vi OpenAI hiện hành.</x:v>
      </x:c>
      <x:c r="X145" s="22" t="str">
        <x:v>Không bật mặc định; lợi ích phụ thuộc model đọc ảnh, độ chính xác và chi phí encode/decode. Đích đề xuất ban đầu: skills/pxpipe/package-lock.json. Đích thực tế trong gói: .agents/skills/pxpipe/package-lock.json. Bằng chứng: SOURCE_HASH_VERIFIED; ACTIVE_INVOCATION_BLOCKED.</x:v>
      </x:c>
      <x:c r="Y145" s="22" t="str">
        <x:v>https://learn.chatgpt.com/docs/build-skills</x:v>
      </x:c>
    </x:row>
    <x:row r="146" ht="68" customHeight="1">
      <x:c r="A146" s="23" t="n">
        <x:v>142</x:v>
      </x:c>
      <x:c r="B146" s="22" t="str">
        <x:v>8.4.6-C/plugin/.claude/skills/pxpipe/package.json</x:v>
      </x:c>
      <x:c r="C146" s="22" t="str">
        <x:v>package.json</x:v>
      </x:c>
      <x:c r="D146" s="22" t="str">
        <x:v>11 · Plugin: PXPIPE</x:v>
      </x:c>
      <x:c r="E146" s="23" t="str">
        <x:v>.json</x:v>
      </x:c>
      <x:c r="F146" s="24" t="n">
        <x:v>467</x:v>
      </x:c>
      <x:c r="G146" s="23" t="str">
        <x:v>3C251DB4</x:v>
      </x:c>
      <x:c r="H146" s="22" t="str">
        <x:v>name=p2p-pxpipe-skill; version=2.0.0; description=P2P optical-compression executor: renders narrative agent handoffs to dense PNGs (reader-gated, byte-safe). Mechanism only; policy lives in compression.md / agents.md.</x:v>
      </x:c>
      <x:c r="I146" s="22" t="str">
        <x:v>Khai báo gói Node, dependency và lệnh chạy PXPIPE.</x:v>
      </x:c>
      <x:c r="J146" s="22" t="str">
        <x:v>Nén ngữ cảnh &amp; PXPIPE</x:v>
      </x:c>
      <x:c r="K146" s="22" t="str">
        <x:v>Executor thử nghiệm và phụ thuộc Node</x:v>
      </x:c>
      <x:c r="L146" s="22" t="str">
        <x:v>Không phát hiện cặp tương ứng rõ ràng.</x:v>
      </x:c>
      <x:c r="M146" s="22" t="str">
        <x:v>source/8.4.6-C/plugin/.claude/skills/pxpipe/package.json</x:v>
      </x:c>
      <x:c r="N146" s="22" t="str">
        <x:v>Giữ nguyên byte trong source/8.4.6-C; bản Codex ghi đường dẫn nguồn và CRC. Mọi port được tạo ở file mới, không sửa mã nguồn snapshot.</x:v>
      </x:c>
      <x:c r="O146" s="22" t="str">
        <x:v>Tài sản/phụ thuộc skill</x:v>
      </x:c>
      <x:c r="P146" s="22" t="str">
        <x:v>.agents/skills/pxpipe/package.json</x:v>
      </x:c>
      <x:c r="Q146" s="22" t="str">
        <x:v>KEEP_SOURCE + REBUILD_DEPS + OPTIONAL_GATE</x:v>
      </x:c>
      <x:c r="R146" s="22" t="str">
        <x:v>Điều kiện · cần audit dependency</x:v>
      </x:c>
      <x:c r="S146" s="22" t="str">
        <x:v>Không tự kích hoạt; chỉ audit khi người dùng gọi rõ $p2p-pxpipe</x:v>
      </x:c>
      <x:c r="T146" s="22" t="str">
        <x:v>7 · Skill phụ &amp; PXPIPE</x:v>
      </x:c>
      <x:c r="U146" s="22" t="str">
        <x:v>P3 · Tùy chọn</x:v>
      </x:c>
      <x:c r="V146" s="22" t="str">
        <x:v>Đã giữ nguồn; mặc định tắt chờ kiểm toán</x:v>
      </x:c>
      <x:c r="W146" s="22" t="str">
        <x:v>Nguồn/hash còn đủ; component bị chặn kích hoạt cho tới khi audit dependency, bảo mật và hành vi OpenAI hiện hành.</x:v>
      </x:c>
      <x:c r="X146" s="22" t="str">
        <x:v>Không bật mặc định; lợi ích phụ thuộc model đọc ảnh, độ chính xác và chi phí encode/decode. Đích đề xuất ban đầu: skills/pxpipe/package.json. Đích thực tế trong gói: .agents/skills/pxpipe/package.json. Bằng chứng: SOURCE_HASH_VERIFIED; ACTIVE_INVOCATION_BLOCKED.</x:v>
      </x:c>
      <x:c r="Y146" s="22" t="str">
        <x:v>https://learn.chatgpt.com/docs/build-skills</x:v>
      </x:c>
    </x:row>
    <x:row r="147" ht="68" customHeight="1">
      <x:c r="A147" s="23" t="n">
        <x:v>143</x:v>
      </x:c>
      <x:c r="B147" s="22" t="str">
        <x:v>8.4.6-C/plugin/.claude/skills/pxpipe/samples/gen-needles.mjs</x:v>
      </x:c>
      <x:c r="C147" s="22" t="str">
        <x:v>gen-needles.mjs</x:v>
      </x:c>
      <x:c r="D147" s="22" t="str">
        <x:v>11 · Plugin: PXPIPE</x:v>
      </x:c>
      <x:c r="E147" s="23" t="str">
        <x:v>.mjs</x:v>
      </x:c>
      <x:c r="F147" s="24" t="n">
        <x:v>7013</x:v>
      </x:c>
      <x:c r="G147" s="23" t="str">
        <x:v>58A91FE8</x:v>
      </x:c>
      <x:c r="H147" s="22" t="str">
        <x:v>Tiêu đề: Фаза A — развёртывание / Фаза B — ключевые решения раунда</x:v>
      </x:c>
      <x:c r="I147" s="22" t="str">
        <x:v>Mẫu dữ liệu/needle để kiểm thử độ trung thực của PXPIPE.</x:v>
      </x:c>
      <x:c r="J147" s="22" t="str">
        <x:v>Nén ngữ cảnh &amp; PXPIPE</x:v>
      </x:c>
      <x:c r="K147" s="22" t="str">
        <x:v>Executor thử nghiệm và phụ thuộc Node</x:v>
      </x:c>
      <x:c r="L147" s="22" t="str">
        <x:v>Không phát hiện cặp tương ứng rõ ràng.</x:v>
      </x:c>
      <x:c r="M147" s="22" t="str">
        <x:v>source/8.4.6-C/plugin/.claude/skills/pxpipe/samples/gen-needles.mjs</x:v>
      </x:c>
      <x:c r="N147" s="22" t="str">
        <x:v>Giữ nguyên byte trong source/8.4.6-C; bản Codex ghi đường dẫn nguồn và CRC. Mọi port được tạo ở file mới, không sửa mã nguồn snapshot.</x:v>
      </x:c>
      <x:c r="O147" s="22" t="str">
        <x:v>Script tùy chọn</x:v>
      </x:c>
      <x:c r="P147" s="22" t="str">
        <x:v>.agents/skills/pxpipe/samples/gen-needles.mjs</x:v>
      </x:c>
      <x:c r="Q147" s="22" t="str">
        <x:v>KEEP_SOURCE + PORT_SCRIPT + OPTIONAL_GATE</x:v>
      </x:c>
      <x:c r="R147" s="22" t="str">
        <x:v>Điều kiện · phải chứng minh lợi ích/độ đúng</x:v>
      </x:c>
      <x:c r="S147" s="22" t="str">
        <x:v>Không tự kích hoạt; chỉ audit khi người dùng gọi rõ $p2p-pxpipe</x:v>
      </x:c>
      <x:c r="T147" s="22" t="str">
        <x:v>7 · Skill phụ &amp; PXPIPE</x:v>
      </x:c>
      <x:c r="U147" s="22" t="str">
        <x:v>P3 · Tùy chọn</x:v>
      </x:c>
      <x:c r="V147" s="22" t="str">
        <x:v>Đã giữ nguồn; mặc định tắt chờ kiểm toán</x:v>
      </x:c>
      <x:c r="W147" s="22" t="str">
        <x:v>Nguồn/hash còn đủ; component bị chặn kích hoạt cho tới khi audit dependency, bảo mật và hành vi OpenAI hiện hành.</x:v>
      </x:c>
      <x:c r="X147" s="22" t="str">
        <x:v>Không bật mặc định; lợi ích phụ thuộc model đọc ảnh, độ chính xác và chi phí encode/decode. Đích đề xuất ban đầu: skills/pxpipe/scripts/gen-needles.mjs. Đích thực tế trong gói: .agents/skills/pxpipe/samples/gen-needles.mjs. Bằng chứng: SOURCE_HASH_VERIFIED; ACTIVE_INVOCATION_BLOCKED.</x:v>
      </x:c>
      <x:c r="Y147" s="22" t="str">
        <x:v>https://learn.chatgpt.com/docs/build-skills</x:v>
      </x:c>
    </x:row>
    <x:row r="148" ht="68" customHeight="1">
      <x:c r="A148" s="23" t="n">
        <x:v>144</x:v>
      </x:c>
      <x:c r="B148" s="22" t="str">
        <x:v>8.4.6-C/plugin/.claude/skills/rag-grounding/SKILL.md</x:v>
      </x:c>
      <x:c r="C148" s="22" t="str">
        <x:v>SKILL.md</x:v>
      </x:c>
      <x:c r="D148" s="22" t="str">
        <x:v>10 · Plugin: skill phụ</x:v>
      </x:c>
      <x:c r="E148" s="23" t="str">
        <x:v>.md</x:v>
      </x:c>
      <x:c r="F148" s="24" t="n">
        <x:v>4525</x:v>
      </x:c>
      <x:c r="G148" s="23" t="str">
        <x:v>856CBB01</x:v>
      </x:c>
      <x:c r="H148" s="22" t="str">
        <x:v>name: rag-grounding; description: &gt;-; version: 1.0; Tiêu đề: rag-grounding — промпт-запрос к источникам («как считывать») / Когда применять / НЕ применять</x:v>
      </x:c>
      <x:c r="I148" s="22" t="str">
        <x:v>Skill tạo truy vấn grounding để mô hình đọc và trích dẫn nguồn đúng cách.</x:v>
      </x:c>
      <x:c r="J148" s="22" t="str">
        <x:v>Skill phụ: RAG toolkit</x:v>
      </x:c>
      <x:c r="K148" s="22" t="str">
        <x:v>Skill độc lập/tham chiếu bổ sung</x:v>
      </x:c>
      <x:c r="L148" s="22" t="str">
        <x:v>Không phát hiện cặp tương ứng rõ ràng.</x:v>
      </x:c>
      <x:c r="M148" s="22" t="str">
        <x:v>source/8.4.6-C/plugin/.claude/skills/rag-grounding/SKILL.md</x:v>
      </x:c>
      <x:c r="N148" s="22" t="str">
        <x:v>Giữ nguyên byte trong source/8.4.6-C; bản Codex ghi đường dẫn nguồn và CRC.</x:v>
      </x:c>
      <x:c r="O148" s="22" t="str">
        <x:v>Skill độc lập</x:v>
      </x:c>
      <x:c r="P148" s="22" t="str">
        <x:v>.agents/skills/rag-grounding/SKILL.md</x:v>
      </x:c>
      <x:c r="Q148" s="22" t="str">
        <x:v>KEEP_SOURCE + TRANSLATE_SKILL</x:v>
      </x:c>
      <x:c r="R148" s="22" t="str">
        <x:v>Cao · chuẩn skill gần tương đương</x:v>
      </x:c>
      <x:c r="S148" s="22" t="str">
        <x:v>Gọi rõ bằng $tên-skill; ChatGPT Work dùng @tên-skill</x:v>
      </x:c>
      <x:c r="T148" s="22" t="str">
        <x:v>7 · Skill phụ &amp; PXPIPE</x:v>
      </x:c>
      <x:c r="U148" s="22" t="str">
        <x:v>P3 · Tùy chọn</x:v>
      </x:c>
      <x:c r="V148" s="22" t="str">
        <x:v>Đã chuyển và kiểm tra cấu trúc</x:v>
      </x:c>
      <x:c r="W148" s="22" t="str">
        <x:v>SKILL.md hợp lệ; gọi $skill đúng; trigger tự động không quá rộng; 3 ca đơn giản/trung bình/đối kháng đạt parity.</x:v>
      </x:c>
      <x:c r="X148" s="22" t="str">
        <x:v>Không thấy rủi ro riêng ngoài yêu cầu parity và truy vết nguồn. Đích đề xuất ban đầu: skills/rag-grounding/SKILL.md. Đích thực tế trong gói: .agents/skills/rag-grounding/SKILL.md. Bằng chứng: TARGET_PRESENT; SKILL_VALIDATOR_PASS.</x:v>
      </x:c>
      <x:c r="Y148" s="22" t="str">
        <x:v>https://learn.chatgpt.com/docs/build-skills</x:v>
      </x:c>
    </x:row>
    <x:row r="149" ht="68" customHeight="1">
      <x:c r="A149" s="23" t="n">
        <x:v>145</x:v>
      </x:c>
      <x:c r="B149" s="22" t="str">
        <x:v>8.4.6-C/plugin/.claude/skills/rag-grounding/reference/model_templates.md</x:v>
      </x:c>
      <x:c r="C149" s="22" t="str">
        <x:v>model_templates.md</x:v>
      </x:c>
      <x:c r="D149" s="22" t="str">
        <x:v>10 · Plugin: skill phụ</x:v>
      </x:c>
      <x:c r="E149" s="23" t="str">
        <x:v>.md</x:v>
      </x:c>
      <x:c r="F149" s="24" t="n">
        <x:v>4767</x:v>
      </x:c>
      <x:c r="G149" s="23" t="str">
        <x:v>95A27284</x:v>
      </x:c>
      <x:c r="H149" s="22" t="str">
        <x:v>Tiêu đề: Готовые grounding-промпты под каждую модель (RAG) / Claude Opus 4.8 / Sonnet 4.6 — XML native</x:v>
      </x:c>
      <x:c r="I149" s="22" t="str">
        <x:v>Các mẫu grounding theo từng họ model; dữ liệu model cần kiểm chứng hiện hành.</x:v>
      </x:c>
      <x:c r="J149" s="22" t="str">
        <x:v>Dữ liệu LIVE &amp; model/vendor</x:v>
      </x:c>
      <x:c r="K149" s="22" t="str">
        <x:v>Skill độc lập/tham chiếu bổ sung</x:v>
      </x:c>
      <x:c r="L149" s="22" t="str">
        <x:v>Không phát hiện cặp tương ứng rõ ràng.</x:v>
      </x:c>
      <x:c r="M149" s="22" t="str">
        <x:v>source/8.4.6-C/plugin/.claude/skills/rag-grounding/reference/model_templates.md</x:v>
      </x:c>
      <x:c r="N149" s="22" t="str">
        <x:v>Giữ nguyên byte trong source/8.4.6-C; bản Codex ghi đường dẫn nguồn và CRC. Snapshot chỉ là bằng chứng lịch sử; lớp LIVE mới phải có nguồn và ngày kiểm chứng.</x:v>
      </x:c>
      <x:c r="O149" s="22" t="str">
        <x:v>Reference on-demand</x:v>
      </x:c>
      <x:c r="P149" s="22" t="str">
        <x:v>.agents/skills/rag-grounding/references/model_templates.md</x:v>
      </x:c>
      <x:c r="Q149" s="22" t="str">
        <x:v>KEEP_SOURCE + VERIFY_LIVE + REWRITE_NATIVE</x:v>
      </x:c>
      <x:c r="R149" s="22" t="str">
        <x:v>Thấp nếu chép nguyên · cao sau kiểm chứng</x:v>
      </x:c>
      <x:c r="S149" s="22" t="str">
        <x:v>Chỉ đọc như lịch sử; kiểm tra nguồn chính thức hiện hành trước khi áp dụng</x:v>
      </x:c>
      <x:c r="T149" s="22" t="str">
        <x:v>6 · LIVE &amp; tích hợp</x:v>
      </x:c>
      <x:c r="U149" s="22" t="str">
        <x:v>P1 · Cao</x:v>
      </x:c>
      <x:c r="V149" s="22" t="str">
        <x:v>Đã giữ nguồn; phải xác minh hiện hành</x:v>
      </x:c>
      <x:c r="W149" s="22" t="str">
        <x:v>Mỗi claim có nguồn chính thức + ngày kiểm chứng; cảnh báo stale; offline fallback không bịa dữ liệu.</x:v>
      </x:c>
      <x:c r="X149" s="22" t="str">
        <x:v>Tên model, giá, API và context có thể thay đổi; không coi snapshot là dữ liệu hiện hành. Đích đề xuất ban đầu: skills/rag-grounding/references/model_templates.md. Đích thực tế trong gói: .agents/skills/rag-grounding/references/model_templates.md. Bằng chứng: SOURCE_HASH_VERIFIED; FRESHNESS_GATE_REQUIRED.</x:v>
      </x:c>
      <x:c r="Y149" s="22" t="str">
        <x:v>https://learn.chatgpt.com/docs/build-skills</x:v>
      </x:c>
    </x:row>
    <x:row r="150" ht="68" customHeight="1">
      <x:c r="A150" s="23" t="n">
        <x:v>146</x:v>
      </x:c>
      <x:c r="B150" s="22" t="str">
        <x:v>8.4.6-C/plugin/.claude/skills/rag-grounding/reference/model_templates_source.txt</x:v>
      </x:c>
      <x:c r="C150" s="22" t="str">
        <x:v>model_templates_source.txt</x:v>
      </x:c>
      <x:c r="D150" s="22" t="str">
        <x:v>10 · Plugin: skill phụ</x:v>
      </x:c>
      <x:c r="E150" s="23" t="str">
        <x:v>.txt</x:v>
      </x:c>
      <x:c r="F150" s="24" t="n">
        <x:v>8869</x:v>
      </x:c>
      <x:c r="G150" s="23" t="str">
        <x:v>D5C11987</x:v>
      </x:c>
      <x:c r="H150" s="22" t="str">
        <x:v>Tiêu đề: Role / Context Scope &amp; Rules</x:v>
      </x:c>
      <x:c r="I150" s="22" t="str">
        <x:v>Mẫu nguồn văn bản cho grounding, dùng làm fixture/tham chiếu.</x:v>
      </x:c>
      <x:c r="J150" s="22" t="str">
        <x:v>Skill phụ: RAG toolkit</x:v>
      </x:c>
      <x:c r="K150" s="22" t="str">
        <x:v>Skill độc lập/tham chiếu bổ sung</x:v>
      </x:c>
      <x:c r="L150" s="22" t="str">
        <x:v>Không phát hiện cặp tương ứng rõ ràng.</x:v>
      </x:c>
      <x:c r="M150" s="22" t="str">
        <x:v>source/8.4.6-C/plugin/.claude/skills/rag-grounding/reference/model_templates_source.txt</x:v>
      </x:c>
      <x:c r="N150" s="22" t="str">
        <x:v>Giữ nguyên byte trong source/8.4.6-C; bản Codex ghi đường dẫn nguồn và CRC.</x:v>
      </x:c>
      <x:c r="O150" s="22" t="str">
        <x:v>Reference on-demand</x:v>
      </x:c>
      <x:c r="P150" s="22" t="str">
        <x:v>.agents/skills/rag-grounding/references/model_templates_source.txt</x:v>
      </x:c>
      <x:c r="Q150" s="22" t="str">
        <x:v>KEEP_SOURCE + KEEP_REFERENCE</x:v>
      </x:c>
      <x:c r="R150" s="22" t="str">
        <x:v>Cao · nạp theo nhu cầu</x:v>
      </x:c>
      <x:c r="S150" s="22" t="str">
        <x:v>Skill Codex chỉ đọc reference này khi nhiệm vụ cần; không preload toàn bộ</x:v>
      </x:c>
      <x:c r="T150" s="22" t="str">
        <x:v>7 · Skill phụ &amp; PXPIPE</x:v>
      </x:c>
      <x:c r="U150" s="22" t="str">
        <x:v>P3 · Tùy chọn</x:v>
      </x:c>
      <x:c r="V150" s="22" t="str">
        <x:v>Đã giữ reference; nạp theo nhu cầu</x:v>
      </x:c>
      <x:c r="W150" s="22" t="str">
        <x:v>CRC nguồn khớp; nội dung không mất; reference chỉ nạp khi cần; 3 ca parity và một ca không kích hoạt ngoài ý muốn.</x:v>
      </x:c>
      <x:c r="X150" s="22" t="str">
        <x:v>Không thấy rủi ro riêng ngoài yêu cầu parity và truy vết nguồn. Đích đề xuất ban đầu: skills/rag-grounding/references/model_templates_source.txt. Đích thực tế trong gói: .agents/skills/rag-grounding/references/model_templates_source.txt. Bằng chứng: SOURCE_HASH_VERIFIED; TARGET_PRESENT; ON_DEMAND_LOAD.</x:v>
      </x:c>
      <x:c r="Y150" s="22" t="str">
        <x:v>https://learn.chatgpt.com/docs/build-skills</x:v>
      </x:c>
    </x:row>
    <x:row r="151" ht="68" customHeight="1">
      <x:c r="A151" s="23" t="n">
        <x:v>147</x:v>
      </x:c>
      <x:c r="B151" s="22" t="str">
        <x:v>8.4.6-C/plugin/.claude/skills/rag-prep/SKILL.md</x:v>
      </x:c>
      <x:c r="C151" s="22" t="str">
        <x:v>SKILL.md</x:v>
      </x:c>
      <x:c r="D151" s="22" t="str">
        <x:v>10 · Plugin: skill phụ</x:v>
      </x:c>
      <x:c r="E151" s="23" t="str">
        <x:v>.md</x:v>
      </x:c>
      <x:c r="F151" s="24" t="n">
        <x:v>4833</x:v>
      </x:c>
      <x:c r="G151" s="23" t="str">
        <x:v>7271F713</x:v>
      </x:c>
      <x:c r="H151" s="22" t="str">
        <x:v>name: rag-prep; description: &gt;-; version: 1.0; Tiêu đề: rag-prep — подготовка источника под RAG / Когда применять / НЕ применять</x:v>
      </x:c>
      <x:c r="I151" s="22" t="str">
        <x:v>Skill chuẩn bị tài liệu đầu vào thành cấu trúc phù hợp cho RAG.</x:v>
      </x:c>
      <x:c r="J151" s="22" t="str">
        <x:v>Skill phụ: RAG toolkit</x:v>
      </x:c>
      <x:c r="K151" s="22" t="str">
        <x:v>Skill độc lập/tham chiếu bổ sung</x:v>
      </x:c>
      <x:c r="L151" s="22" t="str">
        <x:v>Không phát hiện cặp tương ứng rõ ràng.</x:v>
      </x:c>
      <x:c r="M151" s="22" t="str">
        <x:v>source/8.4.6-C/plugin/.claude/skills/rag-prep/SKILL.md</x:v>
      </x:c>
      <x:c r="N151" s="22" t="str">
        <x:v>Giữ nguyên byte trong source/8.4.6-C; bản Codex ghi đường dẫn nguồn và CRC.</x:v>
      </x:c>
      <x:c r="O151" s="22" t="str">
        <x:v>Skill độc lập</x:v>
      </x:c>
      <x:c r="P151" s="22" t="str">
        <x:v>.agents/skills/rag-prep/SKILL.md</x:v>
      </x:c>
      <x:c r="Q151" s="22" t="str">
        <x:v>KEEP_SOURCE + TRANSLATE_SKILL</x:v>
      </x:c>
      <x:c r="R151" s="22" t="str">
        <x:v>Cao · chuẩn skill gần tương đương</x:v>
      </x:c>
      <x:c r="S151" s="22" t="str">
        <x:v>Gọi rõ bằng $tên-skill; ChatGPT Work dùng @tên-skill</x:v>
      </x:c>
      <x:c r="T151" s="22" t="str">
        <x:v>7 · Skill phụ &amp; PXPIPE</x:v>
      </x:c>
      <x:c r="U151" s="22" t="str">
        <x:v>P3 · Tùy chọn</x:v>
      </x:c>
      <x:c r="V151" s="22" t="str">
        <x:v>Đã chuyển và kiểm tra cấu trúc</x:v>
      </x:c>
      <x:c r="W151" s="22" t="str">
        <x:v>SKILL.md hợp lệ; gọi $skill đúng; trigger tự động không quá rộng; 3 ca đơn giản/trung bình/đối kháng đạt parity.</x:v>
      </x:c>
      <x:c r="X151" s="22" t="str">
        <x:v>Không thấy rủi ro riêng ngoài yêu cầu parity và truy vết nguồn. Đích đề xuất ban đầu: skills/rag-prep/SKILL.md. Đích thực tế trong gói: .agents/skills/rag-prep/SKILL.md. Bằng chứng: TARGET_PRESENT; SKILL_VALIDATOR_PASS.</x:v>
      </x:c>
      <x:c r="Y151" s="22" t="str">
        <x:v>https://learn.chatgpt.com/docs/build-skills</x:v>
      </x:c>
    </x:row>
    <x:row r="152" ht="68" customHeight="1">
      <x:c r="A152" s="23" t="n">
        <x:v>148</x:v>
      </x:c>
      <x:c r="B152" s="22" t="str">
        <x:v>8.4.6-C/plugin/.claude/skills/rag-prep/reference/rag_metaprompt_standard.md</x:v>
      </x:c>
      <x:c r="C152" s="22" t="str">
        <x:v>rag_metaprompt_standard.md</x:v>
      </x:c>
      <x:c r="D152" s="22" t="str">
        <x:v>10 · Plugin: skill phụ</x:v>
      </x:c>
      <x:c r="E152" s="23" t="str">
        <x:v>.md</x:v>
      </x:c>
      <x:c r="F152" s="24" t="n">
        <x:v>49161</x:v>
      </x:c>
      <x:c r="G152" s="23" t="str">
        <x:v>4B95ED1A</x:v>
      </x:c>
      <x:c r="H152" s="22" t="str">
        <x:v>description: &gt;; scope: rag_optimized_metaprompt_architecture; version: 2.0; Tiêu đề: 📐 RAG METAPROMPT STANDARD v2.0 / Универсальная инструкция по построению больших метапромтов под RAG</x:v>
      </x:c>
      <x:c r="I152" s="22" t="str">
        <x:v>Tiêu chuẩn kiến trúc metaprompt lớn dùng với RAG.</x:v>
      </x:c>
      <x:c r="J152" s="22" t="str">
        <x:v>Skill phụ: RAG toolkit</x:v>
      </x:c>
      <x:c r="K152" s="22" t="str">
        <x:v>Skill độc lập/tham chiếu bổ sung</x:v>
      </x:c>
      <x:c r="L152" s="22" t="str">
        <x:v>Trùng byte với: 8.4.6-C/plugin/.claude/skills/notebook-pack/reference/rag_metaprompt_standard.md</x:v>
      </x:c>
      <x:c r="M152" s="22" t="str">
        <x:v>source/8.4.6-C/plugin/.claude/skills/rag-prep/reference/rag_metaprompt_standard.md</x:v>
      </x:c>
      <x:c r="N152" s="22" t="str">
        <x:v>Giữ cả các file gốc trong source snapshot; runtime chỉ kích hoạt một bản canonical để tránh nạp kép.</x:v>
      </x:c>
      <x:c r="O152" s="22" t="str">
        <x:v>Reference on-demand</x:v>
      </x:c>
      <x:c r="P152" s="22" t="str">
        <x:v>.agents/skills/rag-prep/references/rag_metaprompt_standard.md</x:v>
      </x:c>
      <x:c r="Q152" s="22" t="str">
        <x:v>KEEP_SOURCE + KEEP_REFERENCE</x:v>
      </x:c>
      <x:c r="R152" s="22" t="str">
        <x:v>Cao · nạp theo nhu cầu</x:v>
      </x:c>
      <x:c r="S152" s="22" t="str">
        <x:v>Skill Codex chỉ đọc reference này khi nhiệm vụ cần; không preload toàn bộ</x:v>
      </x:c>
      <x:c r="T152" s="22" t="str">
        <x:v>7 · Skill phụ &amp; PXPIPE</x:v>
      </x:c>
      <x:c r="U152" s="22" t="str">
        <x:v>P3 · Tùy chọn</x:v>
      </x:c>
      <x:c r="V152" s="22" t="str">
        <x:v>Đã giữ reference; nạp theo nhu cầu</x:v>
      </x:c>
      <x:c r="W152" s="22" t="str">
        <x:v>CRC nguồn khớp; nội dung không mất; reference chỉ nạp khi cần; 3 ca parity và một ca không kích hoạt ngoài ý muốn.</x:v>
      </x:c>
      <x:c r="X152" s="22" t="str">
        <x:v>Không thấy rủi ro riêng ngoài yêu cầu parity và truy vết nguồn. Đích đề xuất ban đầu: skills/rag-prep/references/rag_metaprompt_standard.md. Đích thực tế trong gói: .agents/skills/rag-prep/references/rag_metaprompt_standard.md. Bằng chứng: SOURCE_HASH_VERIFIED; TARGET_PRESENT; ON_DEMAND_LOAD.</x:v>
      </x:c>
      <x:c r="Y152" s="22" t="str">
        <x:v>https://learn.chatgpt.com/docs/build-skills</x:v>
      </x:c>
    </x:row>
    <x:row r="153" ht="68" customHeight="1">
      <x:c r="A153" s="23" t="n">
        <x:v>149</x:v>
      </x:c>
      <x:c r="B153" s="22" t="str">
        <x:v>8.4.6-C/plugin/.claude/skills/rag-router/SKILL.md</x:v>
      </x:c>
      <x:c r="C153" s="22" t="str">
        <x:v>SKILL.md</x:v>
      </x:c>
      <x:c r="D153" s="22" t="str">
        <x:v>10 · Plugin: skill phụ</x:v>
      </x:c>
      <x:c r="E153" s="23" t="str">
        <x:v>.md</x:v>
      </x:c>
      <x:c r="F153" s="24" t="n">
        <x:v>4157</x:v>
      </x:c>
      <x:c r="G153" s="23" t="str">
        <x:v>9AEEA612</x:v>
      </x:c>
      <x:c r="H153" s="22" t="str">
        <x:v>name: rag-router; description: &gt;-; version: 1.0; Tiêu đề: rag-router — выбор среды и стратегии под задачу / Когда применять / НЕ применять</x:v>
      </x:c>
      <x:c r="I153" s="22" t="str">
        <x:v>Skill chọn môi trường và chiến lược RAG theo loại nhiệm vụ.</x:v>
      </x:c>
      <x:c r="J153" s="22" t="str">
        <x:v>Skill phụ: RAG toolkit</x:v>
      </x:c>
      <x:c r="K153" s="22" t="str">
        <x:v>Skill độc lập/tham chiếu bổ sung</x:v>
      </x:c>
      <x:c r="L153" s="22" t="str">
        <x:v>Không phát hiện cặp tương ứng rõ ràng.</x:v>
      </x:c>
      <x:c r="M153" s="22" t="str">
        <x:v>source/8.4.6-C/plugin/.claude/skills/rag-router/SKILL.md</x:v>
      </x:c>
      <x:c r="N153" s="22" t="str">
        <x:v>Giữ nguyên byte trong source/8.4.6-C; bản Codex ghi đường dẫn nguồn và CRC.</x:v>
      </x:c>
      <x:c r="O153" s="22" t="str">
        <x:v>Skill độc lập</x:v>
      </x:c>
      <x:c r="P153" s="22" t="str">
        <x:v>.agents/skills/rag-router/SKILL.md</x:v>
      </x:c>
      <x:c r="Q153" s="22" t="str">
        <x:v>KEEP_SOURCE + TRANSLATE_SKILL</x:v>
      </x:c>
      <x:c r="R153" s="22" t="str">
        <x:v>Cao · chuẩn skill gần tương đương</x:v>
      </x:c>
      <x:c r="S153" s="22" t="str">
        <x:v>Gọi rõ bằng $tên-skill; ChatGPT Work dùng @tên-skill</x:v>
      </x:c>
      <x:c r="T153" s="22" t="str">
        <x:v>7 · Skill phụ &amp; PXPIPE</x:v>
      </x:c>
      <x:c r="U153" s="22" t="str">
        <x:v>P3 · Tùy chọn</x:v>
      </x:c>
      <x:c r="V153" s="22" t="str">
        <x:v>Đã chuyển và kiểm tra cấu trúc</x:v>
      </x:c>
      <x:c r="W153" s="22" t="str">
        <x:v>SKILL.md hợp lệ; gọi $skill đúng; trigger tự động không quá rộng; 3 ca đơn giản/trung bình/đối kháng đạt parity.</x:v>
      </x:c>
      <x:c r="X153" s="22" t="str">
        <x:v>Không thấy rủi ro riêng ngoài yêu cầu parity và truy vết nguồn. Đích đề xuất ban đầu: skills/rag-router/SKILL.md. Đích thực tế trong gói: .agents/skills/rag-router/SKILL.md. Bằng chứng: TARGET_PRESENT; SKILL_VALIDATOR_PASS.</x:v>
      </x:c>
      <x:c r="Y153" s="22" t="str">
        <x:v>https://learn.chatgpt.com/docs/build-skills</x:v>
      </x:c>
    </x:row>
    <x:row r="154" ht="68" customHeight="1">
      <x:c r="A154" s="23" t="n">
        <x:v>150</x:v>
      </x:c>
      <x:c r="B154" s="22" t="str">
        <x:v>8.4.6-C/plugin/INSTALL.md</x:v>
      </x:c>
      <x:c r="C154" s="22" t="str">
        <x:v>INSTALL.md</x:v>
      </x:c>
      <x:c r="D154" s="22" t="str">
        <x:v>12 · Plugin: đóng gói</x:v>
      </x:c>
      <x:c r="E154" s="23" t="str">
        <x:v>.md</x:v>
      </x:c>
      <x:c r="F154" s="24" t="n">
        <x:v>3831</x:v>
      </x:c>
      <x:c r="G154" s="23" t="str">
        <x:v>C5707EE3</x:v>
      </x:c>
      <x:c r="H154" s="22" t="str">
        <x:v>Tiêu đề: P2P — Установка (TL;DR) / 🚀 Метод 1 — One-click (.plugin файл) — рекомендуется</x:v>
      </x:c>
      <x:c r="I154" s="22" t="str">
        <x:v>Hướng dẫn cài nhanh gói plugin Claude.</x:v>
      </x:c>
      <x:c r="J154" s="22" t="str">
        <x:v>Tài liệu &amp; truy vết</x:v>
      </x:c>
      <x:c r="K154" s="22" t="str">
        <x:v>Cài đặt/đóng gói phát hành</x:v>
      </x:c>
      <x:c r="L154" s="22" t="str">
        <x:v>Không phát hiện cặp tương ứng rõ ràng.</x:v>
      </x:c>
      <x:c r="M154" s="22" t="str">
        <x:v>source/8.4.6-C/plugin/INSTALL.md</x:v>
      </x:c>
      <x:c r="N154" s="22" t="str">
        <x:v>Giữ nguyên byte trong source/8.4.6-C; bản Codex ghi đường dẫn nguồn và CRC.</x:v>
      </x:c>
      <x:c r="O154" s="22" t="str">
        <x:v>Tài liệu Codex</x:v>
      </x:c>
      <x:c r="P154" s="22" t="str">
        <x:v>BAT-DAU.md</x:v>
      </x:c>
      <x:c r="Q154" s="22" t="str">
        <x:v>KEEP_SOURCE + ADAPT_DOCS</x:v>
      </x:c>
      <x:c r="R154" s="22" t="str">
        <x:v>Cao · nội dung giữ được</x:v>
      </x:c>
      <x:c r="S154" s="22" t="str">
        <x:v>Không nạp runtime; người dùng/maintainer đọc khi cần</x:v>
      </x:c>
      <x:c r="T154" s="22" t="str">
        <x:v>8 · Tài liệu &amp; phát hành</x:v>
      </x:c>
      <x:c r="U154" s="22" t="str">
        <x:v>P2 · Trung bình</x:v>
      </x:c>
      <x:c r="V154" s="22" t="str">
        <x:v>Đã giữ nguồn và có bản thích nghi Codex</x:v>
      </x:c>
      <x:c r="W154" s="22" t="str">
        <x:v>CRC nguồn khớp ZIP; liên kết không hỏng; tiếng Nga/Việt/Anh hiển thị đúng; hướng dẫn Codex được người mới làm lại thành công.</x:v>
      </x:c>
      <x:c r="X154" s="22" t="str">
        <x:v>Không thấy rủi ro riêng ngoài yêu cầu parity và truy vết nguồn. Đích đề xuất ban đầu: docs/INSTALL.md. Đích thực tế trong gói: BAT-DAU.md. Bằng chứng: SOURCE_HASH_VERIFIED; ADAPTED_TARGET_PRESENT.</x:v>
      </x:c>
      <x:c r="Y154" s="22" t="str">
        <x:v>https://learn.chatgpt.com/docs/build-plugins</x:v>
      </x:c>
    </x:row>
    <x:row r="155" ht="68" customHeight="1">
      <x:c r="A155" s="23" t="n">
        <x:v>151</x:v>
      </x:c>
      <x:c r="B155" s="22" t="str">
        <x:v>8.4.6-C/plugin/pack.ps1</x:v>
      </x:c>
      <x:c r="C155" s="22" t="str">
        <x:v>pack.ps1</x:v>
      </x:c>
      <x:c r="D155" s="22" t="str">
        <x:v>12 · Plugin: đóng gói</x:v>
      </x:c>
      <x:c r="E155" s="23" t="str">
        <x:v>.ps1</x:v>
      </x:c>
      <x:c r="F155" s="24" t="n">
        <x:v>6839</x:v>
      </x:c>
      <x:c r="G155" s="23" t="str">
        <x:v>E50F7527</x:v>
      </x:c>
      <x:c r="H155" s="22" t="str">
        <x:v>Tiêu đề: pack.ps1 — Build a .plugin bundle of the Claude-Native edition (version-agnostic). / WHAT THIS IS (and is NOT):</x:v>
      </x:c>
      <x:c r="I155" s="22" t="str">
        <x:v>Script PowerShell đóng gói bản plugin trên Windows.</x:v>
      </x:c>
      <x:c r="J155" s="22" t="str">
        <x:v>Nền tảng &amp; đóng gói Codex</x:v>
      </x:c>
      <x:c r="K155" s="22" t="str">
        <x:v>Cài đặt/đóng gói phát hành</x:v>
      </x:c>
      <x:c r="L155" s="22" t="str">
        <x:v>Không phát hiện cặp tương ứng rõ ràng.</x:v>
      </x:c>
      <x:c r="M155" s="22" t="str">
        <x:v>source/8.4.6-C/plugin/pack.ps1</x:v>
      </x:c>
      <x:c r="N155" s="22" t="str">
        <x:v>Giữ nguyên byte trong source/8.4.6-C; bản Codex ghi đường dẫn nguồn và CRC. Mọi port được tạo ở file mới, không sửa mã nguồn snapshot.</x:v>
      </x:c>
      <x:c r="O155" s="22" t="str">
        <x:v>Script đóng gói</x:v>
      </x:c>
      <x:c r="P155" s="22" t="str">
        <x:v>scripts/package.ps1</x:v>
      </x:c>
      <x:c r="Q155" s="22" t="str">
        <x:v>KEEP_SOURCE + PORT_SCRIPT + PARITY_TEST</x:v>
      </x:c>
      <x:c r="R155" s="22" t="str">
        <x:v>Trung bình · cấu trúc plugin khác</x:v>
      </x:c>
      <x:c r="S155" s="22" t="str">
        <x:v>Không nạp runtime; người dùng/maintainer đọc khi cần</x:v>
      </x:c>
      <x:c r="T155" s="22" t="str">
        <x:v>8 · Tài liệu &amp; phát hành</x:v>
      </x:c>
      <x:c r="U155" s="22" t="str">
        <x:v>P2 · Trung bình</x:v>
      </x:c>
      <x:c r="V155" s="22" t="str">
        <x:v>Đã chuyển và kiểm tra cấu trúc</x:v>
      </x:c>
      <x:c r="W155" s="22" t="str">
        <x:v>Build Windows/Linux thành công; manifest và checksum nhất quán; gói cài mới/gỡ được.</x:v>
      </x:c>
      <x:c r="X155" s="22" t="str">
        <x:v>Không thấy rủi ro riêng ngoài yêu cầu parity và truy vết nguồn. Đích đề xuất ban đầu: scripts/build-plugin.ps1. Đích thực tế trong gói: scripts/package.ps1. Bằng chứng: NATIVE_TARGET_PRESENT; STRUCTURAL_CHECK_PASS; POWERSHELL_STATIC_REVIEW_ONLY.</x:v>
      </x:c>
      <x:c r="Y155" s="22" t="str">
        <x:v>https://learn.chatgpt.com/docs/build-plugins</x:v>
      </x:c>
    </x:row>
    <x:row r="156" ht="68" customHeight="1">
      <x:c r="A156" s="23" t="n">
        <x:v>152</x:v>
      </x:c>
      <x:c r="B156" s="22" t="str">
        <x:v>8.4.6-C/plugin/pack.sh</x:v>
      </x:c>
      <x:c r="C156" s="22" t="str">
        <x:v>pack.sh</x:v>
      </x:c>
      <x:c r="D156" s="22" t="str">
        <x:v>12 · Plugin: đóng gói</x:v>
      </x:c>
      <x:c r="E156" s="23" t="str">
        <x:v>.sh</x:v>
      </x:c>
      <x:c r="F156" s="24" t="n">
        <x:v>3746</x:v>
      </x:c>
      <x:c r="G156" s="23" t="str">
        <x:v>3A71CBF8</x:v>
      </x:c>
      <x:c r="H156" s="22" t="str">
        <x:v>Tiêu đề: pack.sh — Build a .plugin bundle of the Claude-Native edition (version-agnostic). / WHAT THIS IS (and is NOT):</x:v>
      </x:c>
      <x:c r="I156" s="22" t="str">
        <x:v>Script shell đóng gói bản plugin trên Linux/macOS.</x:v>
      </x:c>
      <x:c r="J156" s="22" t="str">
        <x:v>Nền tảng &amp; đóng gói Codex</x:v>
      </x:c>
      <x:c r="K156" s="22" t="str">
        <x:v>Cài đặt/đóng gói phát hành</x:v>
      </x:c>
      <x:c r="L156" s="22" t="str">
        <x:v>Không phát hiện cặp tương ứng rõ ràng.</x:v>
      </x:c>
      <x:c r="M156" s="22" t="str">
        <x:v>source/8.4.6-C/plugin/pack.sh</x:v>
      </x:c>
      <x:c r="N156" s="22" t="str">
        <x:v>Giữ nguyên byte trong source/8.4.6-C; bản Codex ghi đường dẫn nguồn và CRC. Mọi port được tạo ở file mới, không sửa mã nguồn snapshot.</x:v>
      </x:c>
      <x:c r="O156" s="22" t="str">
        <x:v>Script đóng gói</x:v>
      </x:c>
      <x:c r="P156" s="22" t="str">
        <x:v>scripts/package.sh</x:v>
      </x:c>
      <x:c r="Q156" s="22" t="str">
        <x:v>KEEP_SOURCE + PORT_SCRIPT + PARITY_TEST</x:v>
      </x:c>
      <x:c r="R156" s="22" t="str">
        <x:v>Trung bình · cấu trúc plugin khác</x:v>
      </x:c>
      <x:c r="S156" s="22" t="str">
        <x:v>Không nạp runtime; người dùng/maintainer đọc khi cần</x:v>
      </x:c>
      <x:c r="T156" s="22" t="str">
        <x:v>8 · Tài liệu &amp; phát hành</x:v>
      </x:c>
      <x:c r="U156" s="22" t="str">
        <x:v>P2 · Trung bình</x:v>
      </x:c>
      <x:c r="V156" s="22" t="str">
        <x:v>Đã chuyển và kiểm tra cấu trúc</x:v>
      </x:c>
      <x:c r="W156" s="22" t="str">
        <x:v>Build Windows/Linux thành công; manifest và checksum nhất quán; gói cài mới/gỡ được.</x:v>
      </x:c>
      <x:c r="X156" s="22" t="str">
        <x:v>Không thấy rủi ro riêng ngoài yêu cầu parity và truy vết nguồn. Đích đề xuất ban đầu: scripts/build-plugin.sh. Đích thực tế trong gói: scripts/package.sh. Bằng chứng: NATIVE_TARGET_PRESENT; STRUCTURAL_CHECK_PASS; BASH_SYNTAX_PASS.</x:v>
      </x:c>
      <x:c r="Y156" s="22" t="str">
        <x:v>https://learn.chatgpt.com/docs/build-plugins</x:v>
      </x:c>
    </x:row>
  </x:sheetData>
  <x:mergeCells>
    <x:mergeCell ref="A1:Y1"/>
    <x:mergeCell ref="A2:Y2"/>
    <x:mergeCell ref="A3:Y3"/>
  </x:mergeCells>
  <x:conditionalFormatting sqref="U5:U156">
    <x:cfRule type="beginsWith" dxfId="0" priority="1" operator="beginsWith" text="P0"/>
    <x:cfRule type="beginsWith" dxfId="1" priority="2" operator="beginsWith" text="P1"/>
    <x:cfRule type="beginsWith" dxfId="2" priority="3" operator="beginsWith" text="P2"/>
    <x:cfRule type="beginsWith" dxfId="3" priority="4" operator="beginsWith" text="P3"/>
  </x:conditionalFormatting>
  <x:conditionalFormatting sqref="V5:V156">
    <x:cfRule type="containsText" dxfId="4" priority="5" operator="containsText" text="Đã chuyển"/>
    <x:cfRule type="containsText" dxfId="5" priority="6" operator="containsText" text="nạp theo nhu cầu"/>
    <x:cfRule type="containsText" dxfId="6" priority="7" operator="containsText" text="mặc định tắt"/>
    <x:cfRule type="containsText" dxfId="7" priority="8" operator="containsText" text="xác minh"/>
  </x:conditionalFormatting>
  <x:conditionalFormatting sqref="Q5:Q156">
    <x:cfRule type="containsText" dxfId="8" priority="9" operator="containsText" text="VERIFY_LIVE"/>
    <x:cfRule type="containsText" dxfId="9" priority="10" operator="containsText" text="DEDUP_RUNTIME"/>
    <x:cfRule type="containsText" dxfId="10" priority="11" operator="containsText" text="REWRITE"/>
    <x:cfRule type="containsText" dxfId="11" priority="12" operator="containsText" text="PORT_SCRIPT"/>
  </x:conditionalFormatting>
  <x:conditionalFormatting sqref="R5:R156">
    <x:cfRule type="containsText" dxfId="12" priority="13" operator="containsText" text="Cao"/>
    <x:cfRule type="containsText" dxfId="13" priority="14" operator="containsText" text="Thấp"/>
    <x:cfRule type="containsText" dxfId="14" priority="15" operator="containsText" text="Điều kiện"/>
  </x:conditionalFormatting>
  <x:pageMargins left="0.7" right="0.7" top="0.75" bottom="0.75" header="0.3" footer="0.3"/>
  <x:tableParts count="1">
    <x:tablePart xmlns:r="http://schemas.openxmlformats.org/officeDocument/2006/relationships" r:id="R17563fbd78894bc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28" hidden="0" customWidth="1"/>
    <x:col min="2" max="2" width="11" hidden="0" customWidth="1"/>
    <x:col min="3" max="3" width="42" hidden="0" customWidth="1"/>
    <x:col min="4" max="4" width="40" hidden="0" customWidth="1"/>
    <x:col min="5" max="5" width="44" hidden="0" customWidth="1"/>
    <x:col min="6" max="6" width="28" hidden="0" customWidth="1"/>
    <x:col min="7" max="7" width="45" hidden="0" customWidth="1"/>
    <x:col min="8" max="8" width="16" hidden="0" customWidth="1"/>
  </x:cols>
  <x:sheetData>
    <x:row r="1" ht="34" customHeight="1">
      <x:c r="A1" s="4" t="str">
        <x:v>MA TRẬN NĂNG LỰC — 152 FILE ĐƯỢC GOM THÀNH 16 NHÓM</x:v>
      </x:c>
      <x:c r="B1" s="4" t="str">
        <x:v>MA TRẬN NĂNG LỰC — 152 FILE ĐƯỢC GOM THÀNH 16 NHÓM</x:v>
      </x:c>
      <x:c r="C1" s="4" t="str">
        <x:v>MA TRẬN NĂNG LỰC — 152 FILE ĐƯỢC GOM THÀNH 16 NHÓM</x:v>
      </x:c>
      <x:c r="D1" s="4" t="str">
        <x:v>MA TRẬN NĂNG LỰC — 152 FILE ĐƯỢC GOM THÀNH 16 NHÓM</x:v>
      </x:c>
      <x:c r="E1" s="4" t="str">
        <x:v>MA TRẬN NĂNG LỰC — 152 FILE ĐƯỢC GOM THÀNH 16 NHÓM</x:v>
      </x:c>
      <x:c r="F1" s="4" t="str">
        <x:v>MA TRẬN NĂNG LỰC — 152 FILE ĐƯỢC GOM THÀNH 16 NHÓM</x:v>
      </x:c>
      <x:c r="G1" s="4" t="str">
        <x:v>MA TRẬN NĂNG LỰC — 152 FILE ĐƯỢC GOM THÀNH 16 NHÓM</x:v>
      </x:c>
      <x:c r="H1" s="4" t="str">
        <x:v>MA TRẬN NĂNG LỰC — 152 FILE ĐƯỢC GOM THÀNH 16 NHÓM</x:v>
      </x:c>
    </x:row>
    <x:row r="2" ht="32" customHeight="1">
      <x:c r="A2" s="8" t="str">
        <x:v>Dùng trang này để hiểu hệ thống ở mức chức năng; số file được tính trực tiếp từ bản đồ 152 dòng.</x:v>
      </x:c>
      <x:c r="B2" s="8" t="str">
        <x:v>Dùng trang này để hiểu hệ thống ở mức chức năng; số file được tính trực tiếp từ bản đồ 152 dòng.</x:v>
      </x:c>
      <x:c r="C2" s="8" t="str">
        <x:v>Dùng trang này để hiểu hệ thống ở mức chức năng; số file được tính trực tiếp từ bản đồ 152 dòng.</x:v>
      </x:c>
      <x:c r="D2" s="8" t="str">
        <x:v>Dùng trang này để hiểu hệ thống ở mức chức năng; số file được tính trực tiếp từ bản đồ 152 dòng.</x:v>
      </x:c>
      <x:c r="E2" s="8" t="str">
        <x:v>Dùng trang này để hiểu hệ thống ở mức chức năng; số file được tính trực tiếp từ bản đồ 152 dòng.</x:v>
      </x:c>
      <x:c r="F2" s="8" t="str">
        <x:v>Dùng trang này để hiểu hệ thống ở mức chức năng; số file được tính trực tiếp từ bản đồ 152 dòng.</x:v>
      </x:c>
      <x:c r="G2" s="8" t="str">
        <x:v>Dùng trang này để hiểu hệ thống ở mức chức năng; số file được tính trực tiếp từ bản đồ 152 dòng.</x:v>
      </x:c>
      <x:c r="H2" s="8" t="str">
        <x:v>Dùng trang này để hiểu hệ thống ở mức chức năng; số file được tính trực tiếp từ bản đồ 152 dòng.</x:v>
      </x:c>
    </x:row>
    <x:row r="4">
      <x:c r="A4" s="18" t="str">
        <x:v>Nhóm năng lực</x:v>
      </x:c>
      <x:c r="B4" s="18" t="str">
        <x:v>Số file</x:v>
      </x:c>
      <x:c r="C4" s="18" t="str">
        <x:v>Ý nghĩa</x:v>
      </x:c>
      <x:c r="D4" s="18" t="str">
        <x:v>Đích Codex</x:v>
      </x:c>
      <x:c r="E4" s="18" t="str">
        <x:v>Cách bảo tồn</x:v>
      </x:c>
      <x:c r="F4" s="18" t="str">
        <x:v>Giai đoạn</x:v>
      </x:c>
      <x:c r="G4" s="18" t="str">
        <x:v>Kiểm thử chính</x:v>
      </x:c>
      <x:c r="H4" s="18" t="str">
        <x:v>Gate/ưu tiên</x:v>
      </x:c>
    </x:row>
    <x:row r="5" ht="58" customHeight="1">
      <x:c r="A5" s="89" t="str">
        <x:v>Tài liệu &amp; truy vết</x:v>
      </x:c>
      <x:c r="B5" s="93" t="n">
        <x:f>COUNTIF('Ban_do_152_file'!$J$5:$J$156,"Tài liệu &amp; truy vết")</x:f>
        <x:v>18</x:v>
      </x:c>
      <x:c r="C5" s="89" t="str">
        <x:v>Giải thích hệ thống, lịch sử, cài đặt, nguồn kỹ thuật.</x:v>
      </x:c>
      <x:c r="D5" s="89" t="str">
        <x:v>docs/ + source snapshot</x:v>
      </x:c>
      <x:c r="E5" s="89" t="str">
        <x:v>Giữ nguyên bản gốc; viết hướng dẫn Codex riêng.</x:v>
      </x:c>
      <x:c r="F5" s="89" t="str">
        <x:v>8 · Tài liệu &amp; phát hành</x:v>
      </x:c>
      <x:c r="G5" s="89" t="str">
        <x:v>Link/encoding/CRC và người mới làm lại được.</x:v>
      </x:c>
      <x:c r="H5" s="89" t="str">
        <x:v>Bắt buộc để audit</x:v>
      </x:c>
    </x:row>
    <x:row r="6" ht="58" customHeight="1">
      <x:c r="A6" s="89" t="str">
        <x:v>Nền tảng &amp; đóng gói Codex</x:v>
      </x:c>
      <x:c r="B6" s="93" t="n">
        <x:f>COUNTIF('Ban_do_152_file'!$J$5:$J$156,"Nền tảng &amp; đóng gói Codex")</x:f>
        <x:v>5</x:v>
      </x:c>
      <x:c r="C6" s="89" t="str">
        <x:v>Manifest, AGENTS.md, config và script build.</x:v>
      </x:c>
      <x:c r="D6" s="89" t="str">
        <x:v>.codex-plugin + AGENTS.md + .codex/config.toml</x:v>
      </x:c>
      <x:c r="E6" s="89" t="str">
        <x:v>Không chép cơ chế Claude nguyên xi.</x:v>
      </x:c>
      <x:c r="F6" s="89" t="str">
        <x:v>1/8 · Nền tảng &amp; phát hành</x:v>
      </x:c>
      <x:c r="G6" s="89" t="str">
        <x:v>Parse, cài sạch, không ghi đè, rollback.</x:v>
      </x:c>
      <x:c r="H6" s="89" t="str">
        <x:v>P0</x:v>
      </x:c>
    </x:row>
    <x:row r="7" ht="58" customHeight="1">
      <x:c r="A7" s="89" t="str">
        <x:v>QUORUM &amp; đa agent</x:v>
      </x:c>
      <x:c r="B7" s="93" t="n">
        <x:f>COUNTIF('Ban_do_152_file'!$J$5:$J$156,"QUORUM &amp; đa agent")</x:f>
        <x:v>12</x:v>
      </x:c>
      <x:c r="C7" s="89" t="str">
        <x:v>8 vai trò thật và cơ chế tổng hợp quyết định.</x:v>
      </x:c>
      <x:c r="D7" s="89" t="str">
        <x:v>.codex/agents/*.toml + skills/p2p-quorum</x:v>
      </x:c>
      <x:c r="E7" s="89" t="str">
        <x:v>Giữ toàn bộ vai trò, trọng số và VETO; đổi runtime.</x:v>
      </x:c>
      <x:c r="F7" s="89" t="str">
        <x:v>2 · 8 agent &amp; QUORUM</x:v>
      </x:c>
      <x:c r="G7" s="89" t="str">
        <x:v>8 thread thật, role parity, HELIOS tổng hợp.</x:v>
      </x:c>
      <x:c r="H7" s="89" t="str">
        <x:v>P0</x:v>
      </x:c>
    </x:row>
    <x:row r="8" ht="58" customHeight="1">
      <x:c r="A8" s="89" t="str">
        <x:v>Lệnh &amp; trải nghiệm gọi</x:v>
      </x:c>
      <x:c r="B8" s="93" t="n">
        <x:f>COUNTIF('Ban_do_152_file'!$J$5:$J$156,"Lệnh &amp; trải nghiệm gọi")</x:f>
        <x:v>12</x:v>
      </x:c>
      <x:c r="C8" s="89" t="str">
        <x:v>12 command trải nghiệm chung; p2p-quorum được tính ở nhóm QUORUM (tổng cộng vẫn là 13 file command).</x:v>
      </x:c>
      <x:c r="D8" s="89" t="str">
        <x:v>skills/p2p-*/SKILL.md</x:v>
      </x:c>
      <x:c r="E8" s="89" t="str">
        <x:v>Mỗi slash command thành skill rõ ràng hoặc route của p2p.</x:v>
      </x:c>
      <x:c r="F8" s="89" t="str">
        <x:v>3 · Lệnh &amp; prompt workflow</x:v>
      </x:c>
      <x:c r="G8" s="89" t="str">
        <x:v>$skill đúng và không trigger nhầm.</x:v>
      </x:c>
      <x:c r="H8" s="89" t="str">
        <x:v>P1</x:v>
      </x:c>
    </x:row>
    <x:row r="9" ht="58" customHeight="1">
      <x:c r="A9" s="89" t="str">
        <x:v>Lõi &amp; điều phối</x:v>
      </x:c>
      <x:c r="B9" s="93" t="n">
        <x:f>COUNTIF('Ban_do_152_file'!$J$5:$J$156,"Lõi &amp; điều phối")</x:f>
        <x:v>10</x:v>
      </x:c>
      <x:c r="C9" s="89" t="str">
        <x:v>Dispatcher, preloader, menu, chỉ mục và assembly.</x:v>
      </x:c>
      <x:c r="D9" s="89" t="str">
        <x:v>skills/p2p/SKILL.md + references</x:v>
      </x:c>
      <x:c r="E9" s="89" t="str">
        <x:v>Chia nhỏ theo progressive disclosure.</x:v>
      </x:c>
      <x:c r="F9" s="89" t="str">
        <x:v>1 · Nền tảng &amp; lõi</x:v>
      </x:c>
      <x:c r="G9" s="89" t="str">
        <x:v>Route đúng, không nạp 300K token, parity 3 mức.</x:v>
      </x:c>
      <x:c r="H9" s="89" t="str">
        <x:v>P0</x:v>
      </x:c>
    </x:row>
    <x:row r="10" ht="58" customHeight="1">
      <x:c r="A10" s="89" t="str">
        <x:v>Prompt engineering &amp; QC</x:v>
      </x:c>
      <x:c r="B10" s="93" t="n">
        <x:f>COUNTIF('Ban_do_152_file'!$J$5:$J$156,"Prompt engineering &amp; QC")</x:f>
        <x:v>12</x:v>
      </x:c>
      <x:c r="C10" s="89" t="str">
        <x:v>G-errors, contract, templates, intent, debug.</x:v>
      </x:c>
      <x:c r="D10" s="89" t="str">
        <x:v>skills/p2p/references + skill chuyên biệt</x:v>
      </x:c>
      <x:c r="E10" s="89" t="str">
        <x:v>Giữ thuật toán; loại giả định model lỗi thời.</x:v>
      </x:c>
      <x:c r="F10" s="89" t="str">
        <x:v>3/5 · Workflow &amp; mở rộng</x:v>
      </x:c>
      <x:c r="G10" s="89" t="str">
        <x:v>Bộ golden cases và negative triggers.</x:v>
      </x:c>
      <x:c r="H10" s="89" t="str">
        <x:v>P1</x:v>
      </x:c>
    </x:row>
    <x:row r="11" ht="58" customHeight="1">
      <x:c r="A11" s="89" t="str">
        <x:v>Trạng thái, scope &amp; đo lường</x:v>
      </x:c>
      <x:c r="B11" s="93" t="n">
        <x:f>COUNTIF('Ban_do_152_file'!$J$5:$J$156,"Trạng thái, scope &amp; đo lường")</x:f>
        <x:v>9</x:v>
      </x:c>
      <x:c r="C11" s="89" t="str">
        <x:v>SCOPE.HELM, CAPSULE, metrics, tool budget.</x:v>
      </x:c>
      <x:c r="D11" s="89" t="str">
        <x:v>skill + file trạng thái/connector có giới hạn rõ</x:v>
      </x:c>
      <x:c r="E11" s="89" t="str">
        <x:v>Không hứa memory bền nếu chưa có storage.</x:v>
      </x:c>
      <x:c r="F11" s="89" t="str">
        <x:v>4 · Scope, trạng thái &amp; đào tạo</x:v>
      </x:c>
      <x:c r="G11" s="89" t="str">
        <x:v>Khôi phục đúng, không rò dữ liệu, giới hạn phiên rõ.</x:v>
      </x:c>
      <x:c r="H11" s="89" t="str">
        <x:v>P1</x:v>
      </x:c>
    </x:row>
    <x:row r="12" ht="58" customHeight="1">
      <x:c r="A12" s="89" t="str">
        <x:v>Đào tạo &amp; hướng dẫn</x:v>
      </x:c>
      <x:c r="B12" s="93" t="n">
        <x:f>COUNTIF('Ban_do_152_file'!$J$5:$J$156,"Đào tạo &amp; hướng dẫn")</x:f>
        <x:v>5</x:v>
      </x:c>
      <x:c r="C12" s="89" t="str">
        <x:v>Teacher 5 cấp và Mentor Method.</x:v>
      </x:c>
      <x:c r="D12" s="89" t="str">
        <x:v>skills/p2p-teacher + references</x:v>
      </x:c>
      <x:c r="E12" s="89" t="str">
        <x:v>Giữ giáo trình; đổi lệnh và ví dụ sang Codex.</x:v>
      </x:c>
      <x:c r="F12" s="89" t="str">
        <x:v>4 · Scope, trạng thái &amp; đào tạo</x:v>
      </x:c>
      <x:c r="G12" s="89" t="str">
        <x:v>Người mới hoàn thành bài học và bài thực hành.</x:v>
      </x:c>
      <x:c r="H12" s="89" t="str">
        <x:v>P1</x:v>
      </x:c>
    </x:row>
    <x:row r="13" ht="58" customHeight="1">
      <x:c r="A13" s="89" t="str">
        <x:v>RAG, reasoning &amp; tối ưu</x:v>
      </x:c>
      <x:c r="B13" s="93" t="n">
        <x:f>COUNTIF('Ban_do_152_file'!$J$5:$J$156,"RAG, reasoning &amp; tối ưu")</x:f>
        <x:v>10</x:v>
      </x:c>
      <x:c r="C13" s="89" t="str">
        <x:v>RAG, reasoning, routing, optimization, exploration.</x:v>
      </x:c>
      <x:c r="D13" s="89" t="str">
        <x:v>references on-demand + connector/MCP khi cần</x:v>
      </x:c>
      <x:c r="E13" s="89" t="str">
        <x:v>Chỉ nạp theo nhiệm vụ; kiểm chứng kỹ thuật/model.</x:v>
      </x:c>
      <x:c r="F13" s="89" t="str">
        <x:v>5/6 · Mở rộng &amp; LIVE</x:v>
      </x:c>
      <x:c r="G13" s="89" t="str">
        <x:v>Grounding, citation, cost gate, fallback.</x:v>
      </x:c>
      <x:c r="H13" s="89" t="str">
        <x:v>P2</x:v>
      </x:c>
    </x:row>
    <x:row r="14" ht="58" customHeight="1">
      <x:c r="A14" s="89" t="str">
        <x:v>An toàn &amp; quyền kiểm soát</x:v>
      </x:c>
      <x:c r="B14" s="93" t="n">
        <x:f>COUNTIF('Ban_do_152_file'!$J$5:$J$156,"An toàn &amp; quyền kiểm soát")</x:f>
        <x:v>5</x:v>
      </x:c>
      <x:c r="C14" s="89" t="str">
        <x:v>Security, sandbox và byte guard.</x:v>
      </x:c>
      <x:c r="D14" s="89" t="str">
        <x:v>AGENTS/config/rules + skill kiểm tra</x:v>
      </x:c>
      <x:c r="E14" s="89" t="str">
        <x:v>Quyền tối thiểu; không hứa sandbox tuyệt đối.</x:v>
      </x:c>
      <x:c r="F14" s="89" t="str">
        <x:v>1/5 · Nền tảng &amp; mở rộng</x:v>
      </x:c>
      <x:c r="G14" s="89" t="str">
        <x:v>Prompt injection, quyền, secrets, adversarial tests.</x:v>
      </x:c>
      <x:c r="H14" s="89" t="str">
        <x:v>P0/P1</x:v>
      </x:c>
    </x:row>
    <x:row r="15" ht="58" customHeight="1">
      <x:c r="A15" s="89" t="str">
        <x:v>Ngữ cảnh người dùng &amp; miền</x:v>
      </x:c>
      <x:c r="B15" s="93" t="n">
        <x:f>COUNTIF('Ban_do_152_file'!$J$5:$J$156,"Ngữ cảnh người dùng &amp; miền")</x:f>
        <x:v>4</x:v>
      </x:c>
      <x:c r="C15" s="89" t="str">
        <x:v>Cá nhân hóa và tri thức React/Kotlin.</x:v>
      </x:c>
      <x:c r="D15" s="89" t="str">
        <x:v>references/profile template</x:v>
      </x:c>
      <x:c r="E15" s="89" t="str">
        <x:v>Tách dữ liệu người dùng khỏi nguồn; không tự thu thập.</x:v>
      </x:c>
      <x:c r="F15" s="89" t="str">
        <x:v>4/5 · Trạng thái &amp; mở rộng</x:v>
      </x:c>
      <x:c r="G15" s="89" t="str">
        <x:v>Consent, scope và kiến thức miền được xác minh.</x:v>
      </x:c>
      <x:c r="H15" s="89" t="str">
        <x:v>P2</x:v>
      </x:c>
    </x:row>
    <x:row r="16" ht="58" customHeight="1">
      <x:c r="A16" s="89" t="str">
        <x:v>Nội dung, media &amp; trình bày</x:v>
      </x:c>
      <x:c r="B16" s="93" t="n">
        <x:f>COUNTIF('Ban_do_152_file'!$J$5:$J$156,"Nội dung, media &amp; trình bày")</x:f>
        <x:v>6</x:v>
      </x:c>
      <x:c r="C16" s="89" t="str">
        <x:v>Writing, visual và banner chế độ.</x:v>
      </x:c>
      <x:c r="D16" s="89" t="str">
        <x:v>skill/reference on-demand</x:v>
      </x:c>
      <x:c r="E16" s="89" t="str">
        <x:v>Giữ quy tắc chất lượng; bỏ phụ thuộc UI Claude.</x:v>
      </x:c>
      <x:c r="F16" s="89" t="str">
        <x:v>5 · Mô-đun mở rộng</x:v>
      </x:c>
      <x:c r="G16" s="89" t="str">
        <x:v>Đầu ra đúng ràng buộc và không làm nặng phiên thường.</x:v>
      </x:c>
      <x:c r="H16" s="89" t="str">
        <x:v>P2</x:v>
      </x:c>
    </x:row>
    <x:row r="17" ht="58" customHeight="1">
      <x:c r="A17" s="89" t="str">
        <x:v>Dữ liệu LIVE &amp; model/vendor</x:v>
      </x:c>
      <x:c r="B17" s="93" t="n">
        <x:f>COUNTIF('Ban_do_152_file'!$J$5:$J$156,"Dữ liệu LIVE &amp; model/vendor")</x:f>
        <x:v>19</x:v>
      </x:c>
      <x:c r="C17" s="89" t="str">
        <x:v>Ảnh chụp model, giá, context, API và tier.</x:v>
      </x:c>
      <x:c r="D17" s="89" t="str">
        <x:v>references/live có timestamp + nguồn</x:v>
      </x:c>
      <x:c r="E17" s="89" t="str">
        <x:v>Snapshot lịch sử bất biến; lớp live kiểm chứng riêng.</x:v>
      </x:c>
      <x:c r="F17" s="89" t="str">
        <x:v>6 · LIVE &amp; tích hợp</x:v>
      </x:c>
      <x:c r="G17" s="89" t="str">
        <x:v>Nguồn chính thức, ngày kiểm tra, offline fallback.</x:v>
      </x:c>
      <x:c r="H17" s="89" t="str">
        <x:v>P1</x:v>
      </x:c>
    </x:row>
    <x:row r="18" ht="58" customHeight="1">
      <x:c r="A18" s="89" t="str">
        <x:v>Nén ngữ cảnh &amp; PXPIPE</x:v>
      </x:c>
      <x:c r="B18" s="93" t="n">
        <x:f>COUNTIF('Ban_do_152_file'!$J$5:$J$156,"Nén ngữ cảnh &amp; PXPIPE")</x:f>
        <x:v>11</x:v>
      </x:c>
      <x:c r="C18" s="89" t="str">
        <x:v>Nén text, executor PNG và đo lợi ích.</x:v>
      </x:c>
      <x:c r="D18" s="89" t="str">
        <x:v>skills/pxpipe tùy chọn + compression reference</x:v>
      </x:c>
      <x:c r="E18" s="89" t="str">
        <x:v>Không bật mặc định; giữ fallback văn bản.</x:v>
      </x:c>
      <x:c r="F18" s="89" t="str">
        <x:v>5/7 · Mở rộng &amp; tùy chọn</x:v>
      </x:c>
      <x:c r="G18" s="89" t="str">
        <x:v>Độ đúng, token, thời gian, byte guard, model hỗ trợ.</x:v>
      </x:c>
      <x:c r="H18" s="89" t="str">
        <x:v>P3</x:v>
      </x:c>
    </x:row>
    <x:row r="19" ht="58" customHeight="1">
      <x:c r="A19" s="89" t="str">
        <x:v>Skill phụ: 4PDA</x:v>
      </x:c>
      <x:c r="B19" s="93" t="n">
        <x:f>COUNTIF('Ban_do_152_file'!$J$5:$J$156,"Skill phụ: 4PDA")</x:f>
        <x:v>6</x:v>
      </x:c>
      <x:c r="C19" s="89" t="str">
        <x:v>Định dạng bài 4PDA và kho BBCode.</x:v>
      </x:c>
      <x:c r="D19" s="89" t="str">
        <x:v>skills/bb4pda</x:v>
      </x:c>
      <x:c r="E19" s="89" t="str">
        <x:v>Giữ như skill độc lập, không buộc vào lõi P2P.</x:v>
      </x:c>
      <x:c r="F19" s="89" t="str">
        <x:v>7 · Skill phụ &amp; PXPIPE</x:v>
      </x:c>
      <x:c r="G19" s="89" t="str">
        <x:v>BBCode hợp lệ qua edge cases.</x:v>
      </x:c>
      <x:c r="H19" s="89" t="str">
        <x:v>P3</x:v>
      </x:c>
    </x:row>
    <x:row r="20" ht="58" customHeight="1">
      <x:c r="A20" s="89" t="str">
        <x:v>Skill phụ: RAG toolkit</x:v>
      </x:c>
      <x:c r="B20" s="93" t="n">
        <x:f>COUNTIF('Ban_do_152_file'!$J$5:$J$156,"Skill phụ: RAG toolkit")</x:f>
        <x:v>8</x:v>
      </x:c>
      <x:c r="C20" s="89" t="str">
        <x:v>Prep, grounding, router và notebook pack.</x:v>
      </x:c>
      <x:c r="D20" s="89" t="str">
        <x:v>skills/rag-* + notebook-pack</x:v>
      </x:c>
      <x:c r="E20" s="89" t="str">
        <x:v>Giữ reference; hợp nhất file trùng ở runtime.</x:v>
      </x:c>
      <x:c r="F20" s="89" t="str">
        <x:v>7 · Skill phụ &amp; PXPIPE</x:v>
      </x:c>
      <x:c r="G20" s="89" t="str">
        <x:v>RAG end-to-end có citation và route đúng.</x:v>
      </x:c>
      <x:c r="H20" s="89" t="str">
        <x:v>P2/P3</x:v>
      </x:c>
    </x:row>
    <x:row r="21" ht="26" customHeight="1">
      <x:c r="A21" s="92" t="str">
        <x:v>TỔNG</x:v>
      </x:c>
      <x:c r="B21" s="94" t="n">
        <x:f>SUM(B5:B20)</x:f>
        <x:v>152</x:v>
      </x:c>
      <x:c r="C21" s="92" t="str">
        <x:v>Phải bằng đúng 152</x:v>
      </x:c>
      <x:c r="D21" s="92" t="str"/>
      <x:c r="E21" s="92" t="str"/>
      <x:c r="F21" s="92" t="str"/>
      <x:c r="G21" s="92" t="str"/>
      <x:c r="H21" s="92" t="str"/>
    </x:row>
  </x:sheetData>
  <x:mergeCells>
    <x:mergeCell ref="A1:H1"/>
    <x:mergeCell ref="A2:H2"/>
  </x:mergeCells>
  <x:pageMargins left="0.7" right="0.7" top="0.75" bottom="0.75" header="0.3" footer="0.3"/>
  <x:tableParts count="1">
    <x:tablePart xmlns:r="http://schemas.openxmlformats.org/officeDocument/2006/relationships" r:id="R1599f7f62c6249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0" hidden="0" customWidth="1"/>
    <x:col min="2" max="2" width="11" hidden="0" customWidth="1"/>
    <x:col min="3" max="3" width="40" hidden="0" customWidth="1"/>
    <x:col min="4" max="4" width="42" hidden="0" customWidth="1"/>
    <x:col min="5" max="5" width="38" hidden="0" customWidth="1"/>
    <x:col min="6" max="6" width="48" hidden="0" customWidth="1"/>
    <x:col min="7" max="7" width="43" hidden="0" customWidth="1"/>
    <x:col min="8" max="8" width="42" hidden="0" customWidth="1"/>
    <x:col min="9" max="9" width="14" hidden="0" customWidth="1"/>
  </x:cols>
  <x:sheetData>
    <x:row r="1" ht="34" customHeight="1">
      <x:c r="A1" s="4" t="str">
        <x:v>LỘ TRÌNH CHUYỂN ĐỔI — 9 GIAI ĐOẠN CÓ CỬA KIỂM SOÁT</x:v>
      </x:c>
      <x:c r="B1" s="4" t="str">
        <x:v>LỘ TRÌNH CHUYỂN ĐỔI — 9 GIAI ĐOẠN CÓ CỬA KIỂM SOÁT</x:v>
      </x:c>
      <x:c r="C1" s="4" t="str">
        <x:v>LỘ TRÌNH CHUYỂN ĐỔI — 9 GIAI ĐOẠN CÓ CỬA KIỂM SOÁT</x:v>
      </x:c>
      <x:c r="D1" s="4" t="str">
        <x:v>LỘ TRÌNH CHUYỂN ĐỔI — 9 GIAI ĐOẠN CÓ CỬA KIỂM SOÁT</x:v>
      </x:c>
      <x:c r="E1" s="4" t="str">
        <x:v>LỘ TRÌNH CHUYỂN ĐỔI — 9 GIAI ĐOẠN CÓ CỬA KIỂM SOÁT</x:v>
      </x:c>
      <x:c r="F1" s="4" t="str">
        <x:v>LỘ TRÌNH CHUYỂN ĐỔI — 9 GIAI ĐOẠN CÓ CỬA KIỂM SOÁT</x:v>
      </x:c>
      <x:c r="G1" s="4" t="str">
        <x:v>LỘ TRÌNH CHUYỂN ĐỔI — 9 GIAI ĐOẠN CÓ CỬA KIỂM SOÁT</x:v>
      </x:c>
      <x:c r="H1" s="4" t="str">
        <x:v>LỘ TRÌNH CHUYỂN ĐỔI — 9 GIAI ĐOẠN CÓ CỬA KIỂM SOÁT</x:v>
      </x:c>
      <x:c r="I1" s="4" t="str">
        <x:v>LỘ TRÌNH CHUYỂN ĐỔI — 9 GIAI ĐOẠN CÓ CỬA KIỂM SOÁT</x:v>
      </x:c>
    </x:row>
    <x:row r="2" ht="32" customHeight="1">
      <x:c r="A2" s="8" t="str">
        <x:v>Không chuyển hàng loạt rồi mới thử. Mỗi giai đoạn phải đạt tiêu chí ra trước khi mở giai đoạn sau.</x:v>
      </x:c>
      <x:c r="B2" s="8" t="str">
        <x:v>Không chuyển hàng loạt rồi mới thử. Mỗi giai đoạn phải đạt tiêu chí ra trước khi mở giai đoạn sau.</x:v>
      </x:c>
      <x:c r="C2" s="8" t="str">
        <x:v>Không chuyển hàng loạt rồi mới thử. Mỗi giai đoạn phải đạt tiêu chí ra trước khi mở giai đoạn sau.</x:v>
      </x:c>
      <x:c r="D2" s="8" t="str">
        <x:v>Không chuyển hàng loạt rồi mới thử. Mỗi giai đoạn phải đạt tiêu chí ra trước khi mở giai đoạn sau.</x:v>
      </x:c>
      <x:c r="E2" s="8" t="str">
        <x:v>Không chuyển hàng loạt rồi mới thử. Mỗi giai đoạn phải đạt tiêu chí ra trước khi mở giai đoạn sau.</x:v>
      </x:c>
      <x:c r="F2" s="8" t="str">
        <x:v>Không chuyển hàng loạt rồi mới thử. Mỗi giai đoạn phải đạt tiêu chí ra trước khi mở giai đoạn sau.</x:v>
      </x:c>
      <x:c r="G2" s="8" t="str">
        <x:v>Không chuyển hàng loạt rồi mới thử. Mỗi giai đoạn phải đạt tiêu chí ra trước khi mở giai đoạn sau.</x:v>
      </x:c>
      <x:c r="H2" s="8" t="str">
        <x:v>Không chuyển hàng loạt rồi mới thử. Mỗi giai đoạn phải đạt tiêu chí ra trước khi mở giai đoạn sau.</x:v>
      </x:c>
      <x:c r="I2" s="8" t="str">
        <x:v>Không chuyển hàng loạt rồi mới thử. Mỗi giai đoạn phải đạt tiêu chí ra trước khi mở giai đoạn sau.</x:v>
      </x:c>
    </x:row>
    <x:row r="4">
      <x:c r="A4" s="18" t="str">
        <x:v>Giai đoạn</x:v>
      </x:c>
      <x:c r="B4" s="18" t="str">
        <x:v>Số file</x:v>
      </x:c>
      <x:c r="C4" s="18" t="str">
        <x:v>Mục tiêu</x:v>
      </x:c>
      <x:c r="D4" s="18" t="str">
        <x:v>Đầu ra</x:v>
      </x:c>
      <x:c r="E4" s="18" t="str">
        <x:v>Điều kiện vào</x:v>
      </x:c>
      <x:c r="F4" s="18" t="str">
        <x:v>Điều kiện ra</x:v>
      </x:c>
      <x:c r="G4" s="18" t="str">
        <x:v>Rủi ro chính</x:v>
      </x:c>
      <x:c r="H4" s="18" t="str">
        <x:v>Quyết định của người dùng</x:v>
      </x:c>
      <x:c r="I4" s="18" t="str">
        <x:v>Phụ thuộc</x:v>
      </x:c>
    </x:row>
    <x:row r="5" ht="72" customHeight="1">
      <x:c r="A5" s="89" t="str">
        <x:v>0 · Bảo tồn &amp; đối chiếu</x:v>
      </x:c>
      <x:c r="B5" s="93" t="n">
        <x:f>COUNTIF('Ban_do_152_file'!$T$5:$T$156,"0 · Bảo tồn &amp; đối chiếu")</x:f>
        <x:v>48</x:v>
      </x:c>
      <x:c r="C5" s="89" t="str">
        <x:v>Khóa inventory 152 file, CRC và cặp trùng/biến thể.</x:v>
      </x:c>
      <x:c r="D5" s="89" t="str">
        <x:v>source snapshot; manifest; golden corpus</x:v>
      </x:c>
      <x:c r="E5" s="89" t="str">
        <x:v>ZIP đúng hash và truy cập đủ file</x:v>
      </x:c>
      <x:c r="F5" s="89" t="str">
        <x:v>152/152 có đích nguồn, không ô trống, CRC khớp</x:v>
      </x:c>
      <x:c r="G5" s="89" t="str">
        <x:v>Nhầm ‘dedup runtime’ thành xóa file</x:v>
      </x:c>
      <x:c r="H5" s="89" t="str">
        <x:v>Chấp nhận nguyên tắc giữ nguồn 1:1</x:v>
      </x:c>
      <x:c r="I5" s="89" t="str">
        <x:v>—</x:v>
      </x:c>
    </x:row>
    <x:row r="6" ht="72" customHeight="1">
      <x:c r="A6" s="89" t="str">
        <x:v>1 · Nền tảng &amp; lõi</x:v>
      </x:c>
      <x:c r="B6" s="93" t="n">
        <x:f>COUNTIF('Ban_do_152_file'!$T$5:$T$156,"1 · Nền tảng &amp; lõi")</x:f>
        <x:v>9</x:v>
      </x:c>
      <x:c r="C6" s="89" t="str">
        <x:v>Tạo khung Codex và port dispatcher tối thiểu.</x:v>
      </x:c>
      <x:c r="D6" s="89" t="str">
        <x:v>plugin manifest; AGENTS.md; config; p2p skill; core/db/preloader</x:v>
      </x:c>
      <x:c r="E6" s="89" t="str">
        <x:v>Giai đoạn 0 đạt</x:v>
      </x:c>
      <x:c r="F6" s="89" t="str">
        <x:v>Skill nạp theo nhu cầu; config parse; không vượt ngân sách AGENTS</x:v>
      </x:c>
      <x:c r="G6" s="89" t="str">
        <x:v>Chép nguyên chỉ dẫn Claude/model</x:v>
      </x:c>
      <x:c r="H6" s="89" t="str">
        <x:v>Chọn cài theo dự án hay cá nhân</x:v>
      </x:c>
      <x:c r="I6" s="89" t="str">
        <x:v>0</x:v>
      </x:c>
    </x:row>
    <x:row r="7" ht="72" customHeight="1">
      <x:c r="A7" s="89" t="str">
        <x:v>2 · 8 agent &amp; QUORUM</x:v>
      </x:c>
      <x:c r="B7" s="93" t="n">
        <x:f>COUNTIF('Ban_do_152_file'!$T$5:$T$156,"2 · 8 agent &amp; QUORUM")</x:f>
        <x:v>11</x:v>
      </x:c>
      <x:c r="C7" s="89" t="str">
        <x:v>Cài 8 agent thật và QUORUM có bằng chứng runtime.</x:v>
      </x:c>
      <x:c r="D7" s="89" t="str">
        <x:v>8 TOML; coordinator; HELIOS; ledger bổ sung</x:v>
      </x:c>
      <x:c r="E7" s="89" t="str">
        <x:v>Khung Codex hoạt động</x:v>
      </x:c>
      <x:c r="F7" s="89" t="str">
        <x:v>8 thread thật; role parity; full/sub-QUORUM; lỗi profile dừng rõ</x:v>
      </x:c>
      <x:c r="G7" s="89" t="str">
        <x:v>Gọi generic thread nhưng gắn nhãn custom agent</x:v>
      </x:c>
      <x:c r="H7" s="89" t="str">
        <x:v>Chọn full QUORUM hay tiết kiệm</x:v>
      </x:c>
      <x:c r="I7" s="89" t="str">
        <x:v>1</x:v>
      </x:c>
    </x:row>
    <x:row r="8" ht="72" customHeight="1">
      <x:c r="A8" s="89" t="str">
        <x:v>3 · Lệnh &amp; prompt workflow</x:v>
      </x:c>
      <x:c r="B8" s="93" t="n">
        <x:f>COUNTIF('Ban_do_152_file'!$T$5:$T$156,"3 · Lệnh &amp; prompt workflow")</x:f>
        <x:v>17</x:v>
      </x:c>
      <x:c r="C8" s="89" t="str">
        <x:v>Chuyển 13 command và workflow prompt chính.</x:v>
      </x:c>
      <x:c r="D8" s="89" t="str">
        <x:v>13 skill/route; contract; intent; templates; debug</x:v>
      </x:c>
      <x:c r="E8" s="89" t="str">
        <x:v>Lõi và QUORUM ổn định</x:v>
      </x:c>
      <x:c r="F8" s="89" t="str">
        <x:v>$skill hoạt động; negative trigger; parity 3 mức</x:v>
      </x:c>
      <x:c r="G8" s="89" t="str">
        <x:v>Quá nhiều skill trigger chồng lấn</x:v>
      </x:c>
      <x:c r="H8" s="89" t="str">
        <x:v>Ưu tiên command dùng hằng ngày</x:v>
      </x:c>
      <x:c r="I8" s="89" t="str">
        <x:v>1–2</x:v>
      </x:c>
    </x:row>
    <x:row r="9" ht="72" customHeight="1">
      <x:c r="A9" s="89" t="str">
        <x:v>4 · Scope, trạng thái &amp; đào tạo</x:v>
      </x:c>
      <x:c r="B9" s="93" t="n">
        <x:f>COUNTIF('Ban_do_152_file'!$T$5:$T$156,"4 · Scope, trạng thái &amp; đào tạo")</x:f>
        <x:v>8</x:v>
      </x:c>
      <x:c r="C9" s="89" t="str">
        <x:v>Thêm scope, capsule, metrics và teacher.</x:v>
      </x:c>
      <x:c r="D9" s="89" t="str">
        <x:v>SCOPE.HELM; memory boundary; metrics; curriculum</x:v>
      </x:c>
      <x:c r="E9" s="89" t="str">
        <x:v>Workflow cơ bản đạt parity</x:v>
      </x:c>
      <x:c r="F9" s="89" t="str">
        <x:v>Phạm vi memory rõ; state khôi phục; người mới học được</x:v>
      </x:c>
      <x:c r="G9" s="89" t="str">
        <x:v>Hứa memory bền hoặc lưu dữ liệu không xin phép</x:v>
      </x:c>
      <x:c r="H9" s="89" t="str">
        <x:v>Chọn nơi lưu trạng thái</x:v>
      </x:c>
      <x:c r="I9" s="89" t="str">
        <x:v>3</x:v>
      </x:c>
    </x:row>
    <x:row r="10" ht="72" customHeight="1">
      <x:c r="A10" s="89" t="str">
        <x:v>5 · Mô-đun mở rộng</x:v>
      </x:c>
      <x:c r="B10" s="93" t="n">
        <x:f>COUNTIF('Ban_do_152_file'!$T$5:$T$156,"5 · Mô-đun mở rộng")</x:f>
        <x:v>11</x:v>
      </x:c>
      <x:c r="C10" s="89" t="str">
        <x:v>Port module mở rộng theo nhu cầu.</x:v>
      </x:c>
      <x:c r="D10" s="89" t="str">
        <x:v>RAG/reasoning/compression/security/optimization/media/domain</x:v>
      </x:c>
      <x:c r="E10" s="89" t="str">
        <x:v>Bộ test và router sẵn sàng</x:v>
      </x:c>
      <x:c r="F10" s="89" t="str">
        <x:v>Mỗi module có trigger, test riêng, không tăng token nền</x:v>
      </x:c>
      <x:c r="G10" s="89" t="str">
        <x:v>Nạp toàn bộ 300K token</x:v>
      </x:c>
      <x:c r="H10" s="89" t="str">
        <x:v>Chọn module thật sự cần</x:v>
      </x:c>
      <x:c r="I10" s="89" t="str">
        <x:v>3–4</x:v>
      </x:c>
    </x:row>
    <x:row r="11" ht="72" customHeight="1">
      <x:c r="A11" s="89" t="str">
        <x:v>6 · LIVE &amp; tích hợp</x:v>
      </x:c>
      <x:c r="B11" s="93" t="n">
        <x:f>COUNTIF('Ban_do_152_file'!$T$5:$T$156,"6 · LIVE &amp; tích hợp")</x:f>
        <x:v>10</x:v>
      </x:c>
      <x:c r="C11" s="89" t="str">
        <x:v>Tạo lớp LIVE và connector an toàn.</x:v>
      </x:c>
      <x:c r="D11" s="89" t="str">
        <x:v>live references có nguồn; update flow; MCP/connector nếu cần</x:v>
      </x:c>
      <x:c r="E11" s="89" t="str">
        <x:v>Quy tắc security/permission hoàn tất</x:v>
      </x:c>
      <x:c r="F11" s="89" t="str">
        <x:v>Mỗi claim có ngày và nguồn; offline fallback; update opt-in</x:v>
      </x:c>
      <x:c r="G11" s="89" t="str">
        <x:v>Dữ liệu model/giá stale hoặc tải từ URL không tin cậy</x:v>
      </x:c>
      <x:c r="H11" s="89" t="str">
        <x:v>Cho phép truy cập mạng đến nguồn nào</x:v>
      </x:c>
      <x:c r="I11" s="89" t="str">
        <x:v>1,5</x:v>
      </x:c>
    </x:row>
    <x:row r="12" ht="72" customHeight="1">
      <x:c r="A12" s="89" t="str">
        <x:v>7 · Skill phụ &amp; PXPIPE</x:v>
      </x:c>
      <x:c r="B12" s="93" t="n">
        <x:f>COUNTIF('Ban_do_152_file'!$T$5:$T$156,"7 · Skill phụ &amp; PXPIPE")</x:f>
        <x:v>23</x:v>
      </x:c>
      <x:c r="C12" s="89" t="str">
        <x:v>Tách skill phụ và thử PXPIPE có điều kiện.</x:v>
      </x:c>
      <x:c r="D12" s="89" t="str">
        <x:v>bb4pda; rag toolkit; pxpipe isolated</x:v>
      </x:c>
      <x:c r="E12" s="89" t="str">
        <x:v>Lõi không phụ thuộc skill phụ</x:v>
      </x:c>
      <x:c r="F12" s="89" t="str">
        <x:v>Skill cài/gỡ độc lập; PXPIPE chứng minh lợi ích và độ đúng</x:v>
      </x:c>
      <x:c r="G12" s="89" t="str">
        <x:v>Dependency/mã thực thi làm tăng bề mặt tấn công</x:v>
      </x:c>
      <x:c r="H12" s="89" t="str">
        <x:v>Có cần PXPIPE/4PDA/RAG toolkit không</x:v>
      </x:c>
      <x:c r="I12" s="89" t="str">
        <x:v>5–6</x:v>
      </x:c>
    </x:row>
    <x:row r="13" ht="72" customHeight="1">
      <x:c r="A13" s="89" t="str">
        <x:v>8 · Tài liệu &amp; phát hành</x:v>
      </x:c>
      <x:c r="B13" s="93" t="n">
        <x:f>COUNTIF('Ban_do_152_file'!$T$5:$T$156,"8 · Tài liệu &amp; phát hành")</x:f>
        <x:v>15</x:v>
      </x:c>
      <x:c r="C13" s="89" t="str">
        <x:v>Đóng gói, tài liệu người mới và regression toàn hệ thống.</x:v>
      </x:c>
      <x:c r="D13" s="89" t="str">
        <x:v>installer/doctor; docs VI; build Win/Linux; release checklist</x:v>
      </x:c>
      <x:c r="E13" s="89" t="str">
        <x:v>Các phase được chọn đều đạt gate</x:v>
      </x:c>
      <x:c r="F13" s="89" t="str">
        <x:v>Cài mới/cập nhật/gỡ/rollback; 152-file parity report</x:v>
      </x:c>
      <x:c r="G13" s="89" t="str">
        <x:v>Tài liệu nói quá mức so với runtime</x:v>
      </x:c>
      <x:c r="H13" s="89" t="str">
        <x:v>Phê duyệt bản phát hành</x:v>
      </x:c>
      <x:c r="I13" s="89" t="str">
        <x:v>0–7</x:v>
      </x:c>
    </x:row>
    <x:row r="14">
      <x:c r="A14" s="92" t="str">
        <x:v>TỔNG</x:v>
      </x:c>
      <x:c r="B14" s="94" t="n">
        <x:f>SUM(B5:B13)</x:f>
        <x:v>152</x:v>
      </x:c>
      <x:c r="C14" s="92" t="str"/>
      <x:c r="D14" s="92" t="str"/>
      <x:c r="E14" s="92" t="str"/>
      <x:c r="F14" s="92" t="str">
        <x:v>Phải bao phủ đủ 152 file</x:v>
      </x:c>
      <x:c r="G14" s="92" t="str"/>
      <x:c r="H14" s="92" t="str"/>
      <x:c r="I14" s="92" t="str"/>
    </x:row>
    <x:row r="17">
      <x:c r="A17" s="59" t="str">
        <x:v>DEFINITION OF DONE — CHỈ ĐƯỢC GỌI LÀ ‘ĐÃ CHUYỂN ĐỦ’ KHI</x:v>
      </x:c>
      <x:c r="B17" s="59" t="str">
        <x:v>DEFINITION OF DONE — CHỈ ĐƯỢC GỌI LÀ ‘ĐÃ CHUYỂN ĐỦ’ KHI</x:v>
      </x:c>
      <x:c r="C17" s="59" t="str">
        <x:v>DEFINITION OF DONE — CHỈ ĐƯỢC GỌI LÀ ‘ĐÃ CHUYỂN ĐỦ’ KHI</x:v>
      </x:c>
      <x:c r="D17" s="59" t="str">
        <x:v>DEFINITION OF DONE — CHỈ ĐƯỢC GỌI LÀ ‘ĐÃ CHUYỂN ĐỦ’ KHI</x:v>
      </x:c>
      <x:c r="E17" s="59" t="str">
        <x:v>DEFINITION OF DONE — CHỈ ĐƯỢC GỌI LÀ ‘ĐÃ CHUYỂN ĐỦ’ KHI</x:v>
      </x:c>
      <x:c r="F17" s="59" t="str">
        <x:v>DEFINITION OF DONE — CHỈ ĐƯỢC GỌI LÀ ‘ĐÃ CHUYỂN ĐỦ’ KHI</x:v>
      </x:c>
      <x:c r="G17" s="59" t="str">
        <x:v>DEFINITION OF DONE — CHỈ ĐƯỢC GỌI LÀ ‘ĐÃ CHUYỂN ĐỦ’ KHI</x:v>
      </x:c>
      <x:c r="H17" s="59" t="str">
        <x:v>DEFINITION OF DONE — CHỈ ĐƯỢC GỌI LÀ ‘ĐÃ CHUYỂN ĐỦ’ KHI</x:v>
      </x:c>
      <x:c r="I17" s="59" t="str">
        <x:v>DEFINITION OF DONE — CHỈ ĐƯỢC GỌI LÀ ‘ĐÃ CHUYỂN ĐỦ’ KHI</x:v>
      </x:c>
    </x:row>
    <x:row r="18" ht="36" customHeight="1">
      <x:c r="A18" s="96" t="str">
        <x:v>Fidelity</x:v>
      </x:c>
      <x:c r="B18" s="99" t="str">
        <x:v>152/152 file có source snapshot đúng byte/CRC và bảng ánh xạ không ô trống.</x:v>
      </x:c>
      <x:c r="C18" s="99" t="str">
        <x:v>152/152 file có source snapshot đúng byte/CRC và bảng ánh xạ không ô trống.</x:v>
      </x:c>
      <x:c r="D18" s="99" t="str">
        <x:v>152/152 file có source snapshot đúng byte/CRC và bảng ánh xạ không ô trống.</x:v>
      </x:c>
      <x:c r="E18" s="99" t="str">
        <x:v>152/152 file có source snapshot đúng byte/CRC và bảng ánh xạ không ô trống.</x:v>
      </x:c>
      <x:c r="F18" s="99" t="str">
        <x:v>152/152 file có source snapshot đúng byte/CRC và bảng ánh xạ không ô trống.</x:v>
      </x:c>
      <x:c r="G18" s="99" t="str">
        <x:v>152/152 file có source snapshot đúng byte/CRC và bảng ánh xạ không ô trống.</x:v>
      </x:c>
      <x:c r="H18" s="99" t="str">
        <x:v>152/152 file có source snapshot đúng byte/CRC và bảng ánh xạ không ô trống.</x:v>
      </x:c>
      <x:c r="I18" s="99" t="str">
        <x:v>152/152 file có source snapshot đúng byte/CRC và bảng ánh xạ không ô trống.</x:v>
      </x:c>
    </x:row>
    <x:row r="19" ht="36" customHeight="1">
      <x:c r="A19" s="96" t="str">
        <x:v>Runtime</x:v>
      </x:c>
      <x:c r="B19" s="102" t="str">
        <x:v>Mỗi thành phần active có một canonical; không nạp đồng thời for-chat và plugin twin.</x:v>
      </x:c>
      <x:c r="C19" s="102" t="str">
        <x:v>Mỗi thành phần active có một canonical; không nạp đồng thời for-chat và plugin twin.</x:v>
      </x:c>
      <x:c r="D19" s="102" t="str">
        <x:v>Mỗi thành phần active có một canonical; không nạp đồng thời for-chat và plugin twin.</x:v>
      </x:c>
      <x:c r="E19" s="102" t="str">
        <x:v>Mỗi thành phần active có một canonical; không nạp đồng thời for-chat và plugin twin.</x:v>
      </x:c>
      <x:c r="F19" s="102" t="str">
        <x:v>Mỗi thành phần active có một canonical; không nạp đồng thời for-chat và plugin twin.</x:v>
      </x:c>
      <x:c r="G19" s="102" t="str">
        <x:v>Mỗi thành phần active có một canonical; không nạp đồng thời for-chat và plugin twin.</x:v>
      </x:c>
      <x:c r="H19" s="102" t="str">
        <x:v>Mỗi thành phần active có một canonical; không nạp đồng thời for-chat và plugin twin.</x:v>
      </x:c>
      <x:c r="I19" s="102" t="str">
        <x:v>Mỗi thành phần active có một canonical; không nạp đồng thời for-chat và plugin twin.</x:v>
      </x:c>
    </x:row>
    <x:row r="20" ht="36" customHeight="1">
      <x:c r="A20" s="96" t="str">
        <x:v>Codex native</x:v>
      </x:c>
      <x:c r="B20" s="99" t="str">
        <x:v>Skill, AGENTS.md, config, hook, MCP và agent theo đúng chuẩn Codex hiện hành.</x:v>
      </x:c>
      <x:c r="C20" s="99" t="str">
        <x:v>Skill, AGENTS.md, config, hook, MCP và agent theo đúng chuẩn Codex hiện hành.</x:v>
      </x:c>
      <x:c r="D20" s="99" t="str">
        <x:v>Skill, AGENTS.md, config, hook, MCP và agent theo đúng chuẩn Codex hiện hành.</x:v>
      </x:c>
      <x:c r="E20" s="99" t="str">
        <x:v>Skill, AGENTS.md, config, hook, MCP và agent theo đúng chuẩn Codex hiện hành.</x:v>
      </x:c>
      <x:c r="F20" s="99" t="str">
        <x:v>Skill, AGENTS.md, config, hook, MCP và agent theo đúng chuẩn Codex hiện hành.</x:v>
      </x:c>
      <x:c r="G20" s="99" t="str">
        <x:v>Skill, AGENTS.md, config, hook, MCP và agent theo đúng chuẩn Codex hiện hành.</x:v>
      </x:c>
      <x:c r="H20" s="99" t="str">
        <x:v>Skill, AGENTS.md, config, hook, MCP và agent theo đúng chuẩn Codex hiện hành.</x:v>
      </x:c>
      <x:c r="I20" s="99" t="str">
        <x:v>Skill, AGENTS.md, config, hook, MCP và agent theo đúng chuẩn Codex hiện hành.</x:v>
      </x:c>
    </x:row>
    <x:row r="21" ht="36" customHeight="1">
      <x:c r="A21" s="96" t="str">
        <x:v>QUORUM thật</x:v>
      </x:c>
      <x:c r="B21" s="102" t="str">
        <x:v>UI/CLI chứng minh 8 thread agent thật; không gắn nhãn ‘full verified’ cho fallback generic.</x:v>
      </x:c>
      <x:c r="C21" s="102" t="str">
        <x:v>UI/CLI chứng minh 8 thread agent thật; không gắn nhãn ‘full verified’ cho fallback generic.</x:v>
      </x:c>
      <x:c r="D21" s="102" t="str">
        <x:v>UI/CLI chứng minh 8 thread agent thật; không gắn nhãn ‘full verified’ cho fallback generic.</x:v>
      </x:c>
      <x:c r="E21" s="102" t="str">
        <x:v>UI/CLI chứng minh 8 thread agent thật; không gắn nhãn ‘full verified’ cho fallback generic.</x:v>
      </x:c>
      <x:c r="F21" s="102" t="str">
        <x:v>UI/CLI chứng minh 8 thread agent thật; không gắn nhãn ‘full verified’ cho fallback generic.</x:v>
      </x:c>
      <x:c r="G21" s="102" t="str">
        <x:v>UI/CLI chứng minh 8 thread agent thật; không gắn nhãn ‘full verified’ cho fallback generic.</x:v>
      </x:c>
      <x:c r="H21" s="102" t="str">
        <x:v>UI/CLI chứng minh 8 thread agent thật; không gắn nhãn ‘full verified’ cho fallback generic.</x:v>
      </x:c>
      <x:c r="I21" s="102" t="str">
        <x:v>UI/CLI chứng minh 8 thread agent thật; không gắn nhãn ‘full verified’ cho fallback generic.</x:v>
      </x:c>
    </x:row>
    <x:row r="22" ht="36" customHeight="1">
      <x:c r="A22" s="96" t="str">
        <x:v>LIVE</x:v>
      </x:c>
      <x:c r="B22" s="99" t="str">
        <x:v>Thông tin model/vendor/giá/API có nguồn chính thức và ngày kiểm chứng.</x:v>
      </x:c>
      <x:c r="C22" s="99" t="str">
        <x:v>Thông tin model/vendor/giá/API có nguồn chính thức và ngày kiểm chứng.</x:v>
      </x:c>
      <x:c r="D22" s="99" t="str">
        <x:v>Thông tin model/vendor/giá/API có nguồn chính thức và ngày kiểm chứng.</x:v>
      </x:c>
      <x:c r="E22" s="99" t="str">
        <x:v>Thông tin model/vendor/giá/API có nguồn chính thức và ngày kiểm chứng.</x:v>
      </x:c>
      <x:c r="F22" s="99" t="str">
        <x:v>Thông tin model/vendor/giá/API có nguồn chính thức và ngày kiểm chứng.</x:v>
      </x:c>
      <x:c r="G22" s="99" t="str">
        <x:v>Thông tin model/vendor/giá/API có nguồn chính thức và ngày kiểm chứng.</x:v>
      </x:c>
      <x:c r="H22" s="99" t="str">
        <x:v>Thông tin model/vendor/giá/API có nguồn chính thức và ngày kiểm chứng.</x:v>
      </x:c>
      <x:c r="I22" s="99" t="str">
        <x:v>Thông tin model/vendor/giá/API có nguồn chính thức và ngày kiểm chứng.</x:v>
      </x:c>
    </x:row>
    <x:row r="23" ht="36" customHeight="1">
      <x:c r="A23" s="96" t="str">
        <x:v>An toàn</x:v>
      </x:c>
      <x:c r="B23" s="102" t="str">
        <x:v>Network, hook, script và PXPIPE opt-in; secrets/permission/adversarial tests đạt.</x:v>
      </x:c>
      <x:c r="C23" s="102" t="str">
        <x:v>Network, hook, script và PXPIPE opt-in; secrets/permission/adversarial tests đạt.</x:v>
      </x:c>
      <x:c r="D23" s="102" t="str">
        <x:v>Network, hook, script và PXPIPE opt-in; secrets/permission/adversarial tests đạt.</x:v>
      </x:c>
      <x:c r="E23" s="102" t="str">
        <x:v>Network, hook, script và PXPIPE opt-in; secrets/permission/adversarial tests đạt.</x:v>
      </x:c>
      <x:c r="F23" s="102" t="str">
        <x:v>Network, hook, script và PXPIPE opt-in; secrets/permission/adversarial tests đạt.</x:v>
      </x:c>
      <x:c r="G23" s="102" t="str">
        <x:v>Network, hook, script và PXPIPE opt-in; secrets/permission/adversarial tests đạt.</x:v>
      </x:c>
      <x:c r="H23" s="102" t="str">
        <x:v>Network, hook, script và PXPIPE opt-in; secrets/permission/adversarial tests đạt.</x:v>
      </x:c>
      <x:c r="I23" s="102" t="str">
        <x:v>Network, hook, script và PXPIPE opt-in; secrets/permission/adversarial tests đạt.</x:v>
      </x:c>
    </x:row>
    <x:row r="24" ht="36" customHeight="1">
      <x:c r="A24" s="96" t="str">
        <x:v>Phát hành</x:v>
      </x:c>
      <x:c r="B24" s="99" t="str">
        <x:v>Cài mới, cập nhật, gỡ và rollback được trên môi trường mục tiêu; tài liệu người mới khớp runtime.</x:v>
      </x:c>
      <x:c r="C24" s="99" t="str">
        <x:v>Cài mới, cập nhật, gỡ và rollback được trên môi trường mục tiêu; tài liệu người mới khớp runtime.</x:v>
      </x:c>
      <x:c r="D24" s="99" t="str">
        <x:v>Cài mới, cập nhật, gỡ và rollback được trên môi trường mục tiêu; tài liệu người mới khớp runtime.</x:v>
      </x:c>
      <x:c r="E24" s="99" t="str">
        <x:v>Cài mới, cập nhật, gỡ và rollback được trên môi trường mục tiêu; tài liệu người mới khớp runtime.</x:v>
      </x:c>
      <x:c r="F24" s="99" t="str">
        <x:v>Cài mới, cập nhật, gỡ và rollback được trên môi trường mục tiêu; tài liệu người mới khớp runtime.</x:v>
      </x:c>
      <x:c r="G24" s="99" t="str">
        <x:v>Cài mới, cập nhật, gỡ và rollback được trên môi trường mục tiêu; tài liệu người mới khớp runtime.</x:v>
      </x:c>
      <x:c r="H24" s="99" t="str">
        <x:v>Cài mới, cập nhật, gỡ và rollback được trên môi trường mục tiêu; tài liệu người mới khớp runtime.</x:v>
      </x:c>
      <x:c r="I24" s="99" t="str">
        <x:v>Cài mới, cập nhật, gỡ và rollback được trên môi trường mục tiêu; tài liệu người mới khớp runtime.</x:v>
      </x:c>
    </x:row>
  </x:sheetData>
  <x:mergeCells>
    <x:mergeCell ref="A1:I1"/>
    <x:mergeCell ref="A2:I2"/>
    <x:mergeCell ref="A17:I17"/>
    <x:mergeCell ref="B18:I18"/>
    <x:mergeCell ref="B19:I19"/>
    <x:mergeCell ref="B20:I20"/>
    <x:mergeCell ref="B21:I21"/>
    <x:mergeCell ref="B22:I22"/>
    <x:mergeCell ref="B23:I23"/>
    <x:mergeCell ref="B24:I24"/>
  </x:mergeCells>
  <x:pageMargins left="0.7" right="0.7" top="0.75" bottom="0.75" header="0.3" footer="0.3"/>
  <x:tableParts count="1">
    <x:tablePart xmlns:r="http://schemas.openxmlformats.org/officeDocument/2006/relationships" r:id="R636fa04d86bc4f35"/>
  </x:tableParts>
</x:worksheet>
</file>

<file path=xl/worksheets/sheet5.xml><?xml version="1.0" encoding="utf-8"?>
<x:worksheet xmlns:x="http://schemas.openxmlformats.org/spreadsheetml/2006/main">
  <x:sheetViews>
    <x:sheetView showGridLines="0" workbookViewId="0"/>
  </x:sheetViews>
  <x:sheetFormatPr defaultRowHeight="15"/>
  <x:cols>
    <x:col min="1" max="1" width="28" hidden="0" customWidth="1"/>
    <x:col min="2" max="2" width="56" hidden="0" customWidth="1"/>
    <x:col min="3" max="3" width="36" hidden="0" customWidth="1"/>
    <x:col min="4" max="4" width="42" hidden="0" customWidth="1"/>
    <x:col min="5" max="5" width="40" hidden="0" customWidth="1"/>
    <x:col min="6" max="6" width="32" hidden="0" customWidth="1"/>
  </x:cols>
  <x:sheetData>
    <x:row r="1" ht="34" customHeight="1">
      <x:c r="A1" s="4" t="str">
        <x:v>QUY TẮC CHUYỂN ĐỔI — GIỮ NGUYÊN NỘI DUNG, ĐỔI ĐÚNG CƠ CHẾ</x:v>
      </x:c>
      <x:c r="B1" s="4" t="str">
        <x:v>QUY TẮC CHUYỂN ĐỔI — GIỮ NGUYÊN NỘI DUNG, ĐỔI ĐÚNG CƠ CHẾ</x:v>
      </x:c>
      <x:c r="C1" s="4" t="str">
        <x:v>QUY TẮC CHUYỂN ĐỔI — GIỮ NGUYÊN NỘI DUNG, ĐỔI ĐÚNG CƠ CHẾ</x:v>
      </x:c>
      <x:c r="D1" s="4" t="str">
        <x:v>QUY TẮC CHUYỂN ĐỔI — GIỮ NGUYÊN NỘI DUNG, ĐỔI ĐÚNG CƠ CHẾ</x:v>
      </x:c>
      <x:c r="E1" s="4" t="str">
        <x:v>QUY TẮC CHUYỂN ĐỔI — GIỮ NGUYÊN NỘI DUNG, ĐỔI ĐÚNG CƠ CHẾ</x:v>
      </x:c>
      <x:c r="F1" s="4" t="str">
        <x:v>QUY TẮC CHUYỂN ĐỔI — GIỮ NGUYÊN NỘI DUNG, ĐỔI ĐÚNG CƠ CHẾ</x:v>
      </x:c>
    </x:row>
    <x:row r="2" ht="32" customHeight="1">
      <x:c r="A2" s="8" t="str">
        <x:v>Các mã này xuất hiện ở cột Q của bản đồ 152 file. Một file có thể cần nhiều mã hành động.</x:v>
      </x:c>
      <x:c r="B2" s="8" t="str">
        <x:v>Các mã này xuất hiện ở cột Q của bản đồ 152 file. Một file có thể cần nhiều mã hành động.</x:v>
      </x:c>
      <x:c r="C2" s="8" t="str">
        <x:v>Các mã này xuất hiện ở cột Q của bản đồ 152 file. Một file có thể cần nhiều mã hành động.</x:v>
      </x:c>
      <x:c r="D2" s="8" t="str">
        <x:v>Các mã này xuất hiện ở cột Q của bản đồ 152 file. Một file có thể cần nhiều mã hành động.</x:v>
      </x:c>
      <x:c r="E2" s="8" t="str">
        <x:v>Các mã này xuất hiện ở cột Q của bản đồ 152 file. Một file có thể cần nhiều mã hành động.</x:v>
      </x:c>
      <x:c r="F2" s="8" t="str">
        <x:v>Các mã này xuất hiện ở cột Q của bản đồ 152 file. Một file có thể cần nhiều mã hành động.</x:v>
      </x:c>
    </x:row>
    <x:row r="4">
      <x:c r="A4" s="18" t="str">
        <x:v>Mã</x:v>
      </x:c>
      <x:c r="B4" s="18" t="str">
        <x:v>Nghĩa cho người mới</x:v>
      </x:c>
      <x:c r="C4" s="18" t="str">
        <x:v>Dùng khi</x:v>
      </x:c>
      <x:c r="D4" s="18" t="str">
        <x:v>Không được làm</x:v>
      </x:c>
      <x:c r="E4" s="18" t="str">
        <x:v>Kiểm thử bắt buộc</x:v>
      </x:c>
      <x:c r="F4" s="18" t="str">
        <x:v>Ví dụ</x:v>
      </x:c>
    </x:row>
    <x:row r="5" ht="48" customHeight="1">
      <x:c r="A5" s="104" t="str">
        <x:v>KEEP_SOURCE</x:v>
      </x:c>
      <x:c r="B5" s="89" t="str">
        <x:v>Giữ bản gốc đúng byte trong source snapshot.</x:v>
      </x:c>
      <x:c r="C5" s="89" t="str">
        <x:v>Áp dụng cho cả 152 file.</x:v>
      </x:c>
      <x:c r="D5" s="89" t="str">
        <x:v>Không chỉnh trực tiếp file snapshot.</x:v>
      </x:c>
      <x:c r="E5" s="89" t="str">
        <x:v>CRC/path khớp ZIP.</x:v>
      </x:c>
      <x:c r="F5" s="89" t="str">
        <x:v>Mọi dòng</x:v>
      </x:c>
    </x:row>
    <x:row r="6" ht="48" customHeight="1">
      <x:c r="A6" s="104" t="str">
        <x:v>DEDUP_RUNTIME</x:v>
      </x:c>
      <x:c r="B6" s="89" t="str">
        <x:v>Giữ cả bản gốc nhưng runtime chỉ nạp một canonical.</x:v>
      </x:c>
      <x:c r="C6" s="89" t="str">
        <x:v>for-chat và plugin cùng chức năng.</x:v>
      </x:c>
      <x:c r="D6" s="89" t="str">
        <x:v>Không hiểu là xóa bản sao nguồn.</x:v>
      </x:c>
      <x:c r="E6" s="89" t="str">
        <x:v>Không nạp kép; parity twin.</x:v>
      </x:c>
      <x:c r="F6" s="89" t="str">
        <x:v>!!core_v8C ↔ core.md</x:v>
      </x:c>
    </x:row>
    <x:row r="7" ht="48" customHeight="1">
      <x:c r="A7" s="104" t="str">
        <x:v>ADAPT_DOCS</x:v>
      </x:c>
      <x:c r="B7" s="89" t="str">
        <x:v>Viết tài liệu Codex mới dựa trên bản gốc.</x:v>
      </x:c>
      <x:c r="C7" s="89" t="str">
        <x:v>README, guide, changelog.</x:v>
      </x:c>
      <x:c r="D7" s="89" t="str">
        <x:v>Không sửa lịch sử thành sự thật mới.</x:v>
      </x:c>
      <x:c r="E7" s="89" t="str">
        <x:v>Link/encoding/user test.</x:v>
      </x:c>
      <x:c r="F7" s="89" t="str">
        <x:v>INSTALL_GUIDE</x:v>
      </x:c>
    </x:row>
    <x:row r="8" ht="48" customHeight="1">
      <x:c r="A8" s="104" t="str">
        <x:v>REWRITE_NATIVE</x:v>
      </x:c>
      <x:c r="B8" s="89" t="str">
        <x:v>Viết lại theo cơ chế Codex.</x:v>
      </x:c>
      <x:c r="C8" s="89" t="str">
        <x:v>Manifest, AGENTS, config, agent.</x:v>
      </x:c>
      <x:c r="D8" s="89" t="str">
        <x:v>Không chép syntax Claude.</x:v>
      </x:c>
      <x:c r="E8" s="89" t="str">
        <x:v>Parse + runtime test.</x:v>
      </x:c>
      <x:c r="F8" s="89" t="str">
        <x:v>CLAUDE.md → AGENTS.md</x:v>
      </x:c>
    </x:row>
    <x:row r="9" ht="48" customHeight="1">
      <x:c r="A9" s="104" t="str">
        <x:v>SPLIT_AND_REWRITE</x:v>
      </x:c>
      <x:c r="B9" s="89" t="str">
        <x:v>Chia file lớn thành dispatcher và reference on-demand.</x:v>
      </x:c>
      <x:c r="C9" s="89" t="str">
        <x:v>Core, preloader, master.</x:v>
      </x:c>
      <x:c r="D9" s="89" t="str">
        <x:v>Không nạp monolith mọi phiên.</x:v>
      </x:c>
      <x:c r="E9" s="89" t="str">
        <x:v>Token budget + route parity.</x:v>
      </x:c>
      <x:c r="F9" s="89" t="str">
        <x:v>core.md</x:v>
      </x:c>
    </x:row>
    <x:row r="10" ht="48" customHeight="1">
      <x:c r="A10" s="104" t="str">
        <x:v>TRANSLATE_SEMANTICS</x:v>
      </x:c>
      <x:c r="B10" s="89" t="str">
        <x:v>Giữ thuật toán/ý nghĩa, đổi giả định nền tảng.</x:v>
      </x:c>
      <x:c r="C10" s="89" t="str">
        <x:v>Các module prompt.</x:v>
      </x:c>
      <x:c r="D10" s="89" t="str">
        <x:v>Không bỏ bước chỉ vì syntax khác.</x:v>
      </x:c>
      <x:c r="E10" s="89" t="str">
        <x:v>Golden cases 3 mức.</x:v>
      </x:c>
      <x:c r="F10" s="89" t="str">
        <x:v>contract_builder.md</x:v>
      </x:c>
    </x:row>
    <x:row r="11" ht="48" customHeight="1">
      <x:c r="A11" s="104" t="str">
        <x:v>CONVERT_TO_SKILL</x:v>
      </x:c>
      <x:c r="B11" s="89" t="str">
        <x:v>Biến slash command thành Skill/route Codex.</x:v>
      </x:c>
      <x:c r="C11" s="89" t="str">
        <x:v>13 command.</x:v>
      </x:c>
      <x:c r="D11" s="89" t="str">
        <x:v>Không giả vờ Codex có command Claude.</x:v>
      </x:c>
      <x:c r="E11" s="89" t="str">
        <x:v>$skill + negative trigger.</x:v>
      </x:c>
      <x:c r="F11" s="89" t="str">
        <x:v>p2p-scope</x:v>
      </x:c>
    </x:row>
    <x:row r="12" ht="48" customHeight="1">
      <x:c r="A12" s="104" t="str">
        <x:v>TRANSLATE_SKILL</x:v>
      </x:c>
      <x:c r="B12" s="89" t="str">
        <x:v>Chuyển skill Claude sang cấu trúc Skill Codex.</x:v>
      </x:c>
      <x:c r="C12" s="89" t="str">
        <x:v>Skill phụ và wrapper.</x:v>
      </x:c>
      <x:c r="D12" s="89" t="str">
        <x:v>Không để frontmatter/trigger quá rộng.</x:v>
      </x:c>
      <x:c r="E12" s="89" t="str">
        <x:v>Validator + invocation.</x:v>
      </x:c>
      <x:c r="F12" s="89" t="str">
        <x:v>rag-prep</x:v>
      </x:c>
    </x:row>
    <x:row r="13" ht="48" customHeight="1">
      <x:c r="A13" s="104" t="str">
        <x:v>KEEP_REFERENCE</x:v>
      </x:c>
      <x:c r="B13" s="89" t="str">
        <x:v>Giữ file kiến thức làm reference nạp theo nhu cầu.</x:v>
      </x:c>
      <x:c r="C13" s="89" t="str">
        <x:v>DB, templates, RAG refs.</x:v>
      </x:c>
      <x:c r="D13" s="89" t="str">
        <x:v>Không nhồi vào SKILL.md.</x:v>
      </x:c>
      <x:c r="E13" s="89" t="str">
        <x:v>Progressive disclosure.</x:v>
      </x:c>
      <x:c r="F13" s="89" t="str">
        <x:v>common_codes.md</x:v>
      </x:c>
    </x:row>
    <x:row r="14" ht="48" customHeight="1">
      <x:c r="A14" s="104" t="str">
        <x:v>VERIFY_LIVE</x:v>
      </x:c>
      <x:c r="B14" s="89" t="str">
        <x:v>Kiểm chứng dữ liệu biến động trước khi dùng.</x:v>
      </x:c>
      <x:c r="C14" s="89" t="str">
        <x:v>Model, giá, API, context.</x:v>
      </x:c>
      <x:c r="D14" s="89" t="str">
        <x:v>Không coi snapshot 2026-07-26 là hiện hành.</x:v>
      </x:c>
      <x:c r="E14" s="89" t="str">
        <x:v>Nguồn + ngày + fallback.</x:v>
      </x:c>
      <x:c r="F14" s="89" t="str">
        <x:v>vendors/tier*.md</x:v>
      </x:c>
    </x:row>
    <x:row r="15" ht="48" customHeight="1">
      <x:c r="A15" s="104" t="str">
        <x:v>SECURITY_REVIEW</x:v>
      </x:c>
      <x:c r="B15" s="89" t="str">
        <x:v>Rà soát quyền, mạng và đầu vào đối kháng.</x:v>
      </x:c>
      <x:c r="C15" s="89" t="str">
        <x:v>settings, download, hook.</x:v>
      </x:c>
      <x:c r="D15" s="89" t="str">
        <x:v>Không tự bật tác động ngoài.</x:v>
      </x:c>
      <x:c r="E15" s="89" t="str">
        <x:v>Permission/injection tests.</x:v>
      </x:c>
      <x:c r="F15" s="89" t="str">
        <x:v>p2p-download</x:v>
      </x:c>
    </x:row>
    <x:row r="16" ht="48" customHeight="1">
      <x:c r="A16" s="104" t="str">
        <x:v>PARITY_TEST</x:v>
      </x:c>
      <x:c r="B16" s="89" t="str">
        <x:v>So sánh hành vi bản Codex với bản nguồn.</x:v>
      </x:c>
      <x:c r="C16" s="89" t="str">
        <x:v>Agent, core, packaging.</x:v>
      </x:c>
      <x:c r="D16" s="89" t="str">
        <x:v>Không chỉ kiểm tra file tồn tại.</x:v>
      </x:c>
      <x:c r="E16" s="89" t="str">
        <x:v>Simple/medium/adversarial.</x:v>
      </x:c>
      <x:c r="F16" s="89" t="str">
        <x:v>8 agent</x:v>
      </x:c>
    </x:row>
    <x:row r="17" ht="48" customHeight="1">
      <x:c r="A17" s="104" t="str">
        <x:v>OPTIONAL_GATE</x:v>
      </x:c>
      <x:c r="B17" s="89" t="str">
        <x:v>Chỉ cài/chạy khi người dùng chọn và điều kiện đạt.</x:v>
      </x:c>
      <x:c r="C17" s="89" t="str">
        <x:v>PXPIPE, network, script phụ.</x:v>
      </x:c>
      <x:c r="D17" s="89" t="str">
        <x:v>Không bật mặc định.</x:v>
      </x:c>
      <x:c r="E17" s="89" t="str">
        <x:v>Consent + fallback.</x:v>
      </x:c>
      <x:c r="F17" s="89" t="str">
        <x:v>PXPIPE</x:v>
      </x:c>
    </x:row>
    <x:row r="18" ht="48" customHeight="1">
      <x:c r="A18" s="104" t="str">
        <x:v>PORT_SCRIPT</x:v>
      </x:c>
      <x:c r="B18" s="89" t="str">
        <x:v>Tạo script mới tương đương cho Codex.</x:v>
      </x:c>
      <x:c r="C18" s="89" t="str">
        <x:v>MJS, PowerShell, shell.</x:v>
      </x:c>
      <x:c r="D18" s="89" t="str">
        <x:v>Không sửa script nguồn.</x:v>
      </x:c>
      <x:c r="E18" s="89" t="str">
        <x:v>Isolated execution + parity.</x:v>
      </x:c>
      <x:c r="F18" s="89" t="str">
        <x:v>pack.ps1</x:v>
      </x:c>
    </x:row>
    <x:row r="19" ht="48" customHeight="1">
      <x:c r="A19" s="104" t="str">
        <x:v>REBUILD_DEPS</x:v>
      </x:c>
      <x:c r="B19" s="89" t="str">
        <x:v>Khóa lại dependency sau audit.</x:v>
      </x:c>
      <x:c r="C19" s="89" t="str">
        <x:v>package.json/lock.</x:v>
      </x:c>
      <x:c r="D19" s="89" t="str">
        <x:v>Không tin lock cũ vô điều kiện.</x:v>
      </x:c>
      <x:c r="E19" s="89" t="str">
        <x:v>Audit + reproducible install.</x:v>
      </x:c>
      <x:c r="F19" s="89" t="str">
        <x:v>pxpipe package-lock</x:v>
      </x:c>
    </x:row>
    <x:row r="20" ht="48" customHeight="1">
      <x:c r="A20" s="104" t="str">
        <x:v>RETEST</x:v>
      </x:c>
      <x:c r="B20" s="89" t="str">
        <x:v>Chạy lại đo lường trên môi trường/model mục tiêu.</x:v>
      </x:c>
      <x:c r="C20" s="89" t="str">
        <x:v>Kết quả verification cũ.</x:v>
      </x:c>
      <x:c r="D20" s="89" t="str">
        <x:v>Không dùng benchmark cũ để bảo đảm mới.</x:v>
      </x:c>
      <x:c r="E20" s="89" t="str">
        <x:v>Reproducible benchmark.</x:v>
      </x:c>
      <x:c r="F20" s="89" t="str">
        <x:v>PXPIPE VERIFICATION</x:v>
      </x:c>
    </x:row>
    <x:row r="23">
      <x:c r="A23" s="59" t="str">
        <x:v>BA LỚP ĐỂ KHÔNG MẤT NỘI DUNG</x:v>
      </x:c>
      <x:c r="B23" s="59" t="str">
        <x:v>BA LỚP ĐỂ KHÔNG MẤT NỘI DUNG</x:v>
      </x:c>
      <x:c r="C23" s="59" t="str">
        <x:v>BA LỚP ĐỂ KHÔNG MẤT NỘI DUNG</x:v>
      </x:c>
      <x:c r="D23" s="59" t="str">
        <x:v>BA LỚP ĐỂ KHÔNG MẤT NỘI DUNG</x:v>
      </x:c>
      <x:c r="E23" s="59" t="str">
        <x:v>BA LỚP ĐỂ KHÔNG MẤT NỘI DUNG</x:v>
      </x:c>
      <x:c r="F23" s="59" t="str">
        <x:v>BA LỚP ĐỂ KHÔNG MẤT NỘI DUNG</x:v>
      </x:c>
    </x:row>
    <x:row r="24" ht="45" customHeight="1">
      <x:c r="A24" s="106" t="str">
        <x:v>Lớp 1 · Source</x:v>
      </x:c>
      <x:c r="B24" s="72" t="str">
        <x:v>Giữ nguyên 152 file, đường dẫn và CRC. Đây là bằng chứng và nơi đối chiếu, không phải thứ Codex nạp toàn bộ.</x:v>
      </x:c>
    </x:row>
    <x:row r="25" ht="45" customHeight="1">
      <x:c r="A25" s="106" t="str">
        <x:v>Lớp 2 · Conversion</x:v>
      </x:c>
      <x:c r="B25" s="72" t="str">
        <x:v>Skill, AGENTS.md, agent TOML, config, references và scripts được tạo mới, có liên kết về file nguồn.</x:v>
      </x:c>
    </x:row>
    <x:row r="26" ht="45" customHeight="1">
      <x:c r="A26" s="106" t="str">
        <x:v>Lớp 3 · Runtime</x:v>
      </x:c>
      <x:c r="B26" s="72" t="str">
        <x:v>Chỉ nạp phần cần cho yêu cầu hiện tại. Dữ liệu LIVE, mạng, hook và PXPIPE đi qua gate riêng.</x:v>
      </x:c>
    </x:row>
    <x:row r="29">
      <x:c r="A29" s="59" t="str">
        <x:v>GIẢI NGHĨA TRẠNG THÁI HIỆN TẠI</x:v>
      </x:c>
      <x:c r="B29" s="59" t="str">
        <x:v>GIẢI NGHĨA TRẠNG THÁI HIỆN TẠI</x:v>
      </x:c>
      <x:c r="C29" s="59" t="str">
        <x:v>GIẢI NGHĨA TRẠNG THÁI HIỆN TẠI</x:v>
      </x:c>
      <x:c r="D29" s="59" t="str">
        <x:v>GIẢI NGHĨA TRẠNG THÁI HIỆN TẠI</x:v>
      </x:c>
      <x:c r="E29" s="59" t="str">
        <x:v>GIẢI NGHĨA TRẠNG THÁI HIỆN TẠI</x:v>
      </x:c>
      <x:c r="F29" s="59" t="str">
        <x:v>GIẢI NGHĨA TRẠNG THÁI HIỆN TẠI</x:v>
      </x:c>
    </x:row>
    <x:row r="30" ht="43" customHeight="1">
      <x:c r="A30" s="108" t="str">
        <x:v>Đã chuyển và kiểm tra cấu trúc</x:v>
      </x:c>
      <x:c r="B30" s="72" t="str">
        <x:v>Đích Codex tồn tại và đã qua validator/parse hoặc kiểm tra cấu trúc tương ứng.</x:v>
      </x:c>
    </x:row>
    <x:row r="31" ht="43" customHeight="1">
      <x:c r="A31" s="108" t="str">
        <x:v>Đã chuyển cấu trúc; chưa chạy 8 thread thật</x:v>
      </x:c>
      <x:c r="B31" s="72" t="str">
        <x:v>TOML agent hợp lệ nhưng vẫn cần bằng chứng runtime trên Codex host bằng UI hoặc /agent.</x:v>
      </x:c>
    </x:row>
    <x:row r="32" ht="43" customHeight="1">
      <x:c r="A32" s="108" t="str">
        <x:v>Đã giữ reference; nạp theo nhu cầu</x:v>
      </x:c>
      <x:c r="B32" s="72" t="str">
        <x:v>Toàn văn được giữ làm reference; skill chỉ đọc khi nhiệm vụ thật sự cần.</x:v>
      </x:c>
    </x:row>
    <x:row r="33" ht="43" customHeight="1">
      <x:c r="A33" s="108" t="str">
        <x:v>Đã giữ nguồn và có bản thích nghi Codex</x:v>
      </x:c>
      <x:c r="B33" s="72" t="str">
        <x:v>Nguồn gốc còn nguyên và gói có tài liệu/cơ chế Codex thay thế phù hợp.</x:v>
      </x:c>
    </x:row>
    <x:row r="34" ht="43" customHeight="1">
      <x:c r="A34" s="108" t="str">
        <x:v>Đã giữ nguyên nguồn; không tạo runtime riêng</x:v>
      </x:c>
      <x:c r="B34" s="72" t="str">
        <x:v>File lịch sử vẫn truy vết đủ nhưng không cần một bản vận hành độc lập.</x:v>
      </x:c>
    </x:row>
    <x:row r="35" ht="43" customHeight="1">
      <x:c r="A35" s="108" t="str">
        <x:v>Đã giữ nguồn; phải xác minh hiện hành</x:v>
      </x:c>
      <x:c r="B35" s="72" t="str">
        <x:v>Dữ liệu LIVE/model/vendor là lịch sử; phải kiểm tra nguồn chính thức mới trước khi dùng.</x:v>
      </x:c>
    </x:row>
    <x:row r="36" ht="43" customHeight="1">
      <x:c r="A36" s="108" t="str">
        <x:v>Đã giữ nguồn; mặc định tắt chờ kiểm toán</x:v>
      </x:c>
      <x:c r="B36" s="72" t="str">
        <x:v>PXPIPE và tác động nhạy cảm còn đầy đủ nhưng không tự kích hoạt.</x:v>
      </x:c>
    </x:row>
    <x:row r="37" ht="43" customHeight="1">
      <x:c r="A37" s="108" t="str">
        <x:v>Bằng chứng</x:v>
      </x:c>
      <x:c r="B37" s="72" t="str">
        <x:v>Xem manifest/conversion-map.csv và build-report.json trong gói Codex để biết kiểm tra cụ thể từng dòng.</x:v>
      </x:c>
    </x:row>
  </x:sheetData>
  <x:mergeCells>
    <x:mergeCell ref="A1:F1"/>
    <x:mergeCell ref="A2:F2"/>
    <x:mergeCell ref="A23:F23"/>
    <x:mergeCell ref="A29:F29"/>
  </x:mergeCells>
  <x:pageMargins left="0.7" right="0.7" top="0.75" bottom="0.75" header="0.3" footer="0.3"/>
  <x:tableParts count="1">
    <x:tablePart xmlns:r="http://schemas.openxmlformats.org/officeDocument/2006/relationships" r:id="R6de964353191480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4" hidden="0" customWidth="1"/>
    <x:col min="2" max="2" width="63" hidden="0" customWidth="1"/>
    <x:col min="3" max="3" width="63" hidden="0" customWidth="1"/>
    <x:col min="4" max="4" width="58" hidden="0" customWidth="1"/>
    <x:col min="5" max="5" width="16" hidden="0" customWidth="1"/>
  </x:cols>
  <x:sheetData>
    <x:row r="1" ht="34" customHeight="1">
      <x:c r="A1" s="4" t="str">
        <x:v>NGUỒN CODEX CHÍNH THỨC DÙNG ĐỂ LẬP BẢN ĐỒ</x:v>
      </x:c>
      <x:c r="B1" s="4" t="str">
        <x:v>NGUỒN CODEX CHÍNH THỨC DÙNG ĐỂ LẬP BẢN ĐỒ</x:v>
      </x:c>
      <x:c r="C1" s="4" t="str">
        <x:v>NGUỒN CODEX CHÍNH THỨC DÙNG ĐỂ LẬP BẢN ĐỒ</x:v>
      </x:c>
      <x:c r="D1" s="4" t="str">
        <x:v>NGUỒN CODEX CHÍNH THỨC DÙNG ĐỂ LẬP BẢN ĐỒ</x:v>
      </x:c>
      <x:c r="E1" s="4" t="str">
        <x:v>NGUỒN CODEX CHÍNH THỨC DÙNG ĐỂ LẬP BẢN ĐỒ</x:v>
      </x:c>
    </x:row>
    <x:row r="2" ht="32" customHeight="1">
      <x:c r="A2" s="8" t="str">
        <x:v>Chỉ dùng tài liệu chính thức của OpenAI/Codex cho các kết luận về vị trí file, Skill, agent, config, hook, MCP và plugin. Kiểm tra ngày 2026-08-07.</x:v>
      </x:c>
      <x:c r="B2" s="8" t="str">
        <x:v>Chỉ dùng tài liệu chính thức của OpenAI/Codex cho các kết luận về vị trí file, Skill, agent, config, hook, MCP và plugin. Kiểm tra ngày 2026-08-07.</x:v>
      </x:c>
      <x:c r="C2" s="8" t="str">
        <x:v>Chỉ dùng tài liệu chính thức của OpenAI/Codex cho các kết luận về vị trí file, Skill, agent, config, hook, MCP và plugin. Kiểm tra ngày 2026-08-07.</x:v>
      </x:c>
      <x:c r="D2" s="8" t="str">
        <x:v>Chỉ dùng tài liệu chính thức của OpenAI/Codex cho các kết luận về vị trí file, Skill, agent, config, hook, MCP và plugin. Kiểm tra ngày 2026-08-07.</x:v>
      </x:c>
      <x:c r="E2" s="8" t="str">
        <x:v>Chỉ dùng tài liệu chính thức của OpenAI/Codex cho các kết luận về vị trí file, Skill, agent, config, hook, MCP và plugin. Kiểm tra ngày 2026-08-07.</x:v>
      </x:c>
    </x:row>
    <x:row r="4">
      <x:c r="A4" s="18" t="str">
        <x:v>Chủ đề</x:v>
      </x:c>
      <x:c r="B4" s="18" t="str">
        <x:v>URL chính thức</x:v>
      </x:c>
      <x:c r="C4" s="18" t="str">
        <x:v>Thông tin dùng trong bản đồ</x:v>
      </x:c>
      <x:c r="D4" s="18" t="str">
        <x:v>Ảnh hưởng đến ánh xạ</x:v>
      </x:c>
      <x:c r="E4" s="18" t="str">
        <x:v>Ngày kiểm tra</x:v>
      </x:c>
    </x:row>
    <x:row r="5" ht="66" customHeight="1">
      <x:c r="A5" s="89" t="str">
        <x:v>Skills</x:v>
      </x:c>
      <x:c r="B5" s="89" t="str">
        <x:v>https://learn.chatgpt.com/docs/build-skills</x:v>
      </x:c>
      <x:c r="C5" s="89" t="str">
        <x:v>SKILL.md + scripts/references/assets; progressive disclosure; Codex gọi $skill, ChatGPT Work gọi @skill.</x:v>
      </x:c>
      <x:c r="D5" s="89" t="str">
        <x:v>Ánh xạ command/module thành skill và reference on-demand.</x:v>
      </x:c>
      <x:c r="E5" s="109" t="n">
        <x:v>46241</x:v>
      </x:c>
    </x:row>
    <x:row r="6" ht="66" customHeight="1">
      <x:c r="A6" s="89" t="str">
        <x:v>Custom agents</x:v>
      </x:c>
      <x:c r="B6" s="89" t="str">
        <x:v>https://learn.chatgpt.com/docs/agent-configuration/subagents</x:v>
      </x:c>
      <x:c r="C6" s="89" t="str">
        <x:v>Custom agent ở ~/.codex/agents hoặc .codex/agents; TOML cần name, description, developer_instructions.</x:v>
      </x:c>
      <x:c r="D6" s="89" t="str">
        <x:v>Ánh xạ 8 file agent Markdown sang 8 TOML và kiểm chứng thread thật.</x:v>
      </x:c>
      <x:c r="E6" s="109" t="n">
        <x:v>46241</x:v>
      </x:c>
    </x:row>
    <x:row r="7" ht="66" customHeight="1">
      <x:c r="A7" s="89" t="str">
        <x:v>AGENTS.md</x:v>
      </x:c>
      <x:c r="B7" s="89" t="str">
        <x:v>https://learn.chatgpt.com/docs/agent-configuration/agents-md</x:v>
      </x:c>
      <x:c r="C7" s="89" t="str">
        <x:v>Codex khám phá AGENTS.md theo phạm vi; tổng hướng dẫn mặc định có giới hạn 32 KiB.</x:v>
      </x:c>
      <x:c r="D7" s="89" t="str">
        <x:v>Không chép toàn bộ CLAUDE.md/core vào AGENTS.md; chỉ giữ rule nền.</x:v>
      </x:c>
      <x:c r="E7" s="109" t="n">
        <x:v>46241</x:v>
      </x:c>
    </x:row>
    <x:row r="8" ht="66" customHeight="1">
      <x:c r="A8" s="89" t="str">
        <x:v>Customization overview</x:v>
      </x:c>
      <x:c r="B8" s="89" t="str">
        <x:v>https://learn.chatgpt.com/docs/customization/overview</x:v>
      </x:c>
      <x:c r="C8" s="89" t="str">
        <x:v>Các lớp tùy biến gồm AGENTS.md, memory, skills, MCP và subagents.</x:v>
      </x:c>
      <x:c r="D8" s="89" t="str">
        <x:v>Chia P2P thành lớp hướng dẫn, skill, agent, connector và trạng thái.</x:v>
      </x:c>
      <x:c r="E8" s="109" t="n">
        <x:v>46241</x:v>
      </x:c>
    </x:row>
    <x:row r="9" ht="66" customHeight="1">
      <x:c r="A9" s="89" t="str">
        <x:v>Hooks</x:v>
      </x:c>
      <x:c r="B9" s="89" t="str">
        <x:v>https://learn.chatgpt.com/docs/hooks</x:v>
      </x:c>
      <x:c r="C9" s="89" t="str">
        <x:v>Hooks có thể chạy lệnh và cần tin cậy/review; hook dự án phụ thuộc project trust.</x:v>
      </x:c>
      <x:c r="D9" s="89" t="str">
        <x:v>Settings/hook của Claude được viết lại, tắt mặc định và audit.</x:v>
      </x:c>
      <x:c r="E9" s="109" t="n">
        <x:v>46241</x:v>
      </x:c>
    </x:row>
    <x:row r="10" ht="66" customHeight="1">
      <x:c r="A10" s="89" t="str">
        <x:v>Advanced config</x:v>
      </x:c>
      <x:c r="B10" s="89" t="str">
        <x:v>https://learn.chatgpt.com/docs/config-file/config-advanced</x:v>
      </x:c>
      <x:c r="C10" s="89" t="str">
        <x:v>Cấu hình dự án dùng .codex/config.toml và chỉ áp dụng cho dự án tin cậy.</x:v>
      </x:c>
      <x:c r="D10" s="89" t="str">
        <x:v>Ánh xạ settings.json, giới hạn agent và quyền sang config Codex.</x:v>
      </x:c>
      <x:c r="E10" s="109" t="n">
        <x:v>46241</x:v>
      </x:c>
    </x:row>
    <x:row r="11" ht="66" customHeight="1">
      <x:c r="A11" s="89" t="str">
        <x:v>MCP</x:v>
      </x:c>
      <x:c r="B11" s="89" t="str">
        <x:v>https://learn.chatgpt.com/docs/extend/mcp</x:v>
      </x:c>
      <x:c r="C11" s="89" t="str">
        <x:v>MCP cấu hình qua config.toml; cần trust và quản trị tool/credential.</x:v>
      </x:c>
      <x:c r="D11" s="89" t="str">
        <x:v>Dùng cho LIVE/update/tool routing khi connector thực sự cần thiết.</x:v>
      </x:c>
      <x:c r="E11" s="109" t="n">
        <x:v>46241</x:v>
      </x:c>
    </x:row>
    <x:row r="12" ht="66" customHeight="1">
      <x:c r="A12" s="89" t="str">
        <x:v>Plugins</x:v>
      </x:c>
      <x:c r="B12" s="89" t="str">
        <x:v>https://learn.chatgpt.com/docs/build-plugins</x:v>
      </x:c>
      <x:c r="C12" s="89" t="str">
        <x:v>Plugin Codex có .codex-plugin/plugin.json và có thể phân phối skills cùng thành phần bổ sung.</x:v>
      </x:c>
      <x:c r="D12" s="89" t="str">
        <x:v>Ánh xạ manifest và script đóng gói Claude sang gói Codex.</x:v>
      </x:c>
      <x:c r="E12" s="109" t="n">
        <x:v>46241</x:v>
      </x:c>
    </x:row>
    <x:row r="13" ht="66" customHeight="1">
      <x:c r="A13" s="89" t="str">
        <x:v>Projects and chats</x:v>
      </x:c>
      <x:c r="B13" s="89" t="str">
        <x:v>https://learn.chatgpt.com/docs/projects</x:v>
      </x:c>
      <x:c r="C13" s="89" t="str">
        <x:v>Chat trong cùng ChatGPT Project dùng chung file, instructions và connected sources; local Codex cần mở đúng project folder.</x:v>
      </x:c>
      <x:c r="D13" s="89" t="str">
        <x:v>Đặt workbook master trong Project Sources hoặc thư mục dự án để chat mới có điểm tựa bền vững.</x:v>
      </x:c>
      <x:c r="E13" s="109" t="n">
        <x:v>46241</x:v>
      </x:c>
    </x:row>
  </x:sheetData>
  <x:mergeCells>
    <x:mergeCell ref="A1:E1"/>
    <x:mergeCell ref="A2:E2"/>
  </x:mergeCells>
  <x:pageMargins left="0.7" right="0.7" top="0.75" bottom="0.75" header="0.3" footer="0.3"/>
  <x:tableParts count="1">
    <x:tablePart xmlns:r="http://schemas.openxmlformats.org/officeDocument/2006/relationships" r:id="Rbb31c011523f4296"/>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8" hidden="0" customWidth="1"/>
    <x:col min="2" max="2" width="20" hidden="0" customWidth="1"/>
    <x:col min="3" max="3" width="42" hidden="0" customWidth="1"/>
    <x:col min="4" max="4" width="66" hidden="0" customWidth="1"/>
    <x:col min="5" max="5" width="16" hidden="0" customWidth="1"/>
    <x:col min="6" max="6" width="70" hidden="0" customWidth="1"/>
    <x:col min="7" max="7" width="34" hidden="0" customWidth="1"/>
    <x:col min="8" max="8" width="38" hidden="0" customWidth="1"/>
    <x:col min="9" max="9" width="36" hidden="0" customWidth="1"/>
    <x:col min="10" max="10" width="48" hidden="0" customWidth="1"/>
    <x:col min="11" max="11" width="48" hidden="0" customWidth="1"/>
  </x:cols>
  <x:sheetData>
    <x:row r="1" ht="34" customHeight="1">
      <x:c r="A1" s="4" t="str">
        <x:v>NGUỒN BỔ SUNG — TÁCH KHỎI BASELINE 152 FILE</x:v>
      </x:c>
      <x:c r="B1" s="4" t="str">
        <x:v>NGUỒN BỔ SUNG — TÁCH KHỎI BASELINE 152 FILE</x:v>
      </x:c>
      <x:c r="C1" s="4" t="str">
        <x:v>NGUỒN BỔ SUNG — TÁCH KHỎI BASELINE 152 FILE</x:v>
      </x:c>
      <x:c r="D1" s="4" t="str">
        <x:v>NGUỒN BỔ SUNG — TÁCH KHỎI BASELINE 152 FILE</x:v>
      </x:c>
      <x:c r="E1" s="4" t="str">
        <x:v>NGUỒN BỔ SUNG — TÁCH KHỎI BASELINE 152 FILE</x:v>
      </x:c>
      <x:c r="F1" s="4" t="str">
        <x:v>NGUỒN BỔ SUNG — TÁCH KHỎI BASELINE 152 FILE</x:v>
      </x:c>
      <x:c r="G1" s="4" t="str">
        <x:v>NGUỒN BỔ SUNG — TÁCH KHỎI BASELINE 152 FILE</x:v>
      </x:c>
      <x:c r="H1" s="4" t="str">
        <x:v>NGUỒN BỔ SUNG — TÁCH KHỎI BASELINE 152 FILE</x:v>
      </x:c>
      <x:c r="I1" s="4" t="str">
        <x:v>NGUỒN BỔ SUNG — TÁCH KHỎI BASELINE 152 FILE</x:v>
      </x:c>
      <x:c r="J1" s="4" t="str">
        <x:v>NGUỒN BỔ SUNG — TÁCH KHỎI BASELINE 152 FILE</x:v>
      </x:c>
      <x:c r="K1" s="4" t="str">
        <x:v>NGUỒN BỔ SUNG — TÁCH KHỎI BASELINE 152 FILE</x:v>
      </x:c>
    </x:row>
    <x:row r="2" ht="32" customHeight="1">
      <x:c r="A2" s="8" t="str">
        <x:v>Schema 2.4 khóa riêng tài liệu sống và snapshot bổ sung; không cộng chúng vào phương trình baseline 152 file.</x:v>
      </x:c>
      <x:c r="B2" s="8" t="str">
        <x:v>Schema 2.4 khóa riêng tài liệu sống và snapshot bổ sung; không cộng chúng vào phương trình baseline 152 file.</x:v>
      </x:c>
      <x:c r="C2" s="8" t="str">
        <x:v>Schema 2.4 khóa riêng tài liệu sống và snapshot bổ sung; không cộng chúng vào phương trình baseline 152 file.</x:v>
      </x:c>
      <x:c r="D2" s="8" t="str">
        <x:v>Schema 2.4 khóa riêng tài liệu sống và snapshot bổ sung; không cộng chúng vào phương trình baseline 152 file.</x:v>
      </x:c>
      <x:c r="E2" s="8" t="str">
        <x:v>Schema 2.4 khóa riêng tài liệu sống và snapshot bổ sung; không cộng chúng vào phương trình baseline 152 file.</x:v>
      </x:c>
      <x:c r="F2" s="8" t="str">
        <x:v>Schema 2.4 khóa riêng tài liệu sống và snapshot bổ sung; không cộng chúng vào phương trình baseline 152 file.</x:v>
      </x:c>
      <x:c r="G2" s="8" t="str">
        <x:v>Schema 2.4 khóa riêng tài liệu sống và snapshot bổ sung; không cộng chúng vào phương trình baseline 152 file.</x:v>
      </x:c>
      <x:c r="H2" s="8" t="str">
        <x:v>Schema 2.4 khóa riêng tài liệu sống và snapshot bổ sung; không cộng chúng vào phương trình baseline 152 file.</x:v>
      </x:c>
      <x:c r="I2" s="8" t="str">
        <x:v>Schema 2.4 khóa riêng tài liệu sống và snapshot bổ sung; không cộng chúng vào phương trình baseline 152 file.</x:v>
      </x:c>
      <x:c r="J2" s="8" t="str">
        <x:v>Schema 2.4 khóa riêng tài liệu sống và snapshot bổ sung; không cộng chúng vào phương trình baseline 152 file.</x:v>
      </x:c>
      <x:c r="K2" s="8" t="str">
        <x:v>Schema 2.4 khóa riêng tài liệu sống và snapshot bổ sung; không cộng chúng vào phương trình baseline 152 file.</x:v>
      </x:c>
    </x:row>
    <x:row r="4">
      <x:c r="A4" s="18" t="str">
        <x:v>ID nguồn</x:v>
      </x:c>
      <x:c r="B4" s="18" t="str">
        <x:v>Loại</x:v>
      </x:c>
      <x:c r="C4" s="18" t="str">
        <x:v>Tên</x:v>
      </x:c>
      <x:c r="D4" s="18" t="str">
        <x:v>URL/đường dẫn</x:v>
      </x:c>
      <x:c r="E4" s="18" t="str">
        <x:v>Ngày audit</x:v>
      </x:c>
      <x:c r="F4" s="18" t="str">
        <x:v>SHA-256</x:v>
      </x:c>
      <x:c r="G4" s="18" t="str">
        <x:v>Quy mô đã biết</x:v>
      </x:c>
      <x:c r="H4" s="18" t="str">
        <x:v>Trạng thái tích hợp</x:v>
      </x:c>
      <x:c r="I4" s="18" t="str">
        <x:v>Quan hệ baseline</x:v>
      </x:c>
      <x:c r="J4" s="18" t="str">
        <x:v>Quy tắc cập nhật</x:v>
      </x:c>
      <x:c r="K4" s="18" t="str">
        <x:v>Ghi chú/quyền</x:v>
      </x:c>
    </x:row>
    <x:row r="5" ht="78" customHeight="1">
      <x:c r="A5" s="112" t="str">
        <x:v>P2P-EXT-0001</x:v>
      </x:c>
      <x:c r="B5" s="112" t="str">
        <x:v>Tài liệu sống</x:v>
      </x:c>
      <x:c r="C5" s="112" t="str">
        <x:v>Инструкция P2P — с оглавлением (ред.)</x:v>
      </x:c>
      <x:c r="D5" s="112" t="str">
        <x:v>https://docs.google.com/document/d/e/2PACX-1vS2Xo8p7cEFYfrW7Lfxr2YxrbxSojmMp6-ueRgq3_9-Q-MGKeSiRUDuQmHSj1QUHXaHA3LFvYyPNI2e/pub</x:v>
      </x:c>
      <x:c r="E5" s="113" t="n">
        <x:v>46241</x:v>
      </x:c>
      <x:c r="F5" s="112"/>
      <x:c r="G5" s="112" t="str">
        <x:v>487.484 ký tự; 13.800 dòng; 60 scenario; 40 ví dụ; 18 edge case tại ngày audit</x:v>
      </x:c>
      <x:c r="H5" s="112" t="str">
        <x:v>INDEXED_NOT_MIRRORED</x:v>
      </x:c>
      <x:c r="I5" s="112" t="str">
        <x:v>Bổ sung; baseline vẫn 152</x:v>
      </x:c>
      <x:c r="J5" s="112" t="str">
        <x:v>Mở lại đúng section khi cần nội dung hiện tại; ghi ngày và diff.</x:v>
      </x:c>
      <x:c r="K5" s="112" t="str">
        <x:v>Liên kết, trích dẫn và ghi nguồn; không chép toàn văn khi chưa rõ quyền.</x:v>
      </x:c>
    </x:row>
    <x:row r="6" ht="78" customHeight="1">
      <x:c r="A6" s="112" t="str">
        <x:v>P2P-EXT-0002</x:v>
      </x:c>
      <x:c r="B6" s="112" t="str">
        <x:v>Snapshot TXT</x:v>
      </x:c>
      <x:c r="C6" s="112" t="str">
        <x:v>P2P overview, architecture and technique catalog</x:v>
      </x:c>
      <x:c r="D6" s="112" t="str">
        <x:v>source/supplemental/P2P-overview-architecture-catalog.ru.txt</x:v>
      </x:c>
      <x:c r="E6" s="113" t="n">
        <x:v>46241</x:v>
      </x:c>
      <x:c r="F6" s="112" t="str">
        <x:v>90d1cd03d15667b5aa8ec12ded6245fe84f5aacd9de478f09f5777301e829341</x:v>
      </x:c>
      <x:c r="G6" s="112" t="str">
        <x:v>22.542 byte; 287 dòng; 15.313 ký tự</x:v>
      </x:c>
      <x:c r="H6" s="112" t="str">
        <x:v>EXACT_SNAPSHOT_PRESERVED_AND_INDEXED</x:v>
      </x:c>
      <x:c r="I6" s="112" t="str">
        <x:v>Tài liệu tổng quan riêng; không phải bản chép Google handbook</x:v>
      </x:c>
      <x:c r="J6" s="112" t="str">
        <x:v>So sánh hash và nội dung nếu người dùng gửi bản mới.</x:v>
      </x:c>
      <x:c r="K6" s="112" t="str">
        <x:v>Đã đọc toàn văn; dùng catalog-index.md để nạp theo nhu cầu.</x:v>
      </x:c>
    </x:row>
    <x:row r="7" ht="78" customHeight="1">
      <x:c r="A7" s="112" t="str">
        <x:v>P2P-EXT-0003</x:v>
      </x:c>
      <x:c r="B7" s="112" t="str">
        <x:v>Snapshot DOCX</x:v>
      </x:c>
      <x:c r="C7" s="112" t="str">
        <x:v>Hướng dẫn phần 1</x:v>
      </x:c>
      <x:c r="D7" s="112" t="str">
        <x:v>source/supplemental/Hướng dẫn phần 1.docx</x:v>
      </x:c>
      <x:c r="E7" s="113" t="n">
        <x:v>46241</x:v>
      </x:c>
      <x:c r="F7" s="112" t="str">
        <x:v>af2b75407e3e5fe0cda63fe5ec9c2a3c652e6e3678882173ef16994a3caf1048</x:v>
      </x:c>
      <x:c r="G7" s="112" t="str">
        <x:v>80.668 byte</x:v>
      </x:c>
      <x:c r="H7" s="112" t="str">
        <x:v>EXACT_SNAPSHOT_PRESERVED</x:v>
      </x:c>
      <x:c r="I7" s="112" t="str">
        <x:v>Bổ sung; baseline vẫn 152</x:v>
      </x:c>
      <x:c r="J7" s="112" t="str">
        <x:v>Giữ bản cũ; snapshot mới nhận version/hash riêng.</x:v>
      </x:c>
      <x:c r="K7" s="112" t="str">
        <x:v>Tài liệu người dùng cung cấp và đã audit toàn văn.</x:v>
      </x:c>
    </x:row>
    <x:row r="8" ht="78" customHeight="1">
      <x:c r="A8" s="112" t="str">
        <x:v>P2P-EXT-0004</x:v>
      </x:c>
      <x:c r="B8" s="112" t="str">
        <x:v>Snapshot DOCX</x:v>
      </x:c>
      <x:c r="C8" s="112" t="str">
        <x:v>Hướng dẫn phần 2</x:v>
      </x:c>
      <x:c r="D8" s="112" t="str">
        <x:v>source/supplemental/Hướng dẫn phần 2.docx</x:v>
      </x:c>
      <x:c r="E8" s="113" t="n">
        <x:v>46241</x:v>
      </x:c>
      <x:c r="F8" s="112" t="str">
        <x:v>25707a21eba6772dcc9a9f424af3c7ef6256d33ed4e0a0e1e86c8b043824c8c5</x:v>
      </x:c>
      <x:c r="G8" s="112" t="str">
        <x:v>97.665 byte</x:v>
      </x:c>
      <x:c r="H8" s="112" t="str">
        <x:v>EXACT_SNAPSHOT_PRESERVED</x:v>
      </x:c>
      <x:c r="I8" s="112" t="str">
        <x:v>Bổ sung; baseline vẫn 152</x:v>
      </x:c>
      <x:c r="J8" s="112" t="str">
        <x:v>Giữ bản cũ; snapshot mới nhận version/hash riêng.</x:v>
      </x:c>
      <x:c r="K8" s="112" t="str">
        <x:v>Tài liệu người dùng cung cấp và đã audit toàn văn.</x:v>
      </x:c>
    </x:row>
    <x:row r="9" ht="78" customHeight="1">
      <x:c r="A9" s="112" t="str">
        <x:v>P2P-EXT-0005</x:v>
      </x:c>
      <x:c r="B9" s="112" t="str">
        <x:v>Snapshot DOCX</x:v>
      </x:c>
      <x:c r="C9" s="112" t="str">
        <x:v>skill</x:v>
      </x:c>
      <x:c r="D9" s="112" t="str">
        <x:v>source/supplemental/skill.docx</x:v>
      </x:c>
      <x:c r="E9" s="113" t="n">
        <x:v>46241</x:v>
      </x:c>
      <x:c r="F9" s="112" t="str">
        <x:v>e040a3ca47ca74236c245345a76c9740825e4355cc4e96c585083892877c4ddb</x:v>
      </x:c>
      <x:c r="G9" s="112" t="str">
        <x:v>110.011 byte</x:v>
      </x:c>
      <x:c r="H9" s="112" t="str">
        <x:v>EXACT_SNAPSHOT_PRESERVED</x:v>
      </x:c>
      <x:c r="I9" s="112" t="str">
        <x:v>Bổ sung; baseline vẫn 152</x:v>
      </x:c>
      <x:c r="J9" s="112" t="str">
        <x:v>Giữ bản cũ; snapshot mới nhận version/hash riêng.</x:v>
      </x:c>
      <x:c r="K9" s="112" t="str">
        <x:v>Tài liệu người dùng cung cấp và đã audit toàn văn.</x:v>
      </x:c>
    </x:row>
    <x:row r="12">
      <x:c r="A12" s="59" t="str">
        <x:v>NĂM QUY TẮC KHÔNG ĐƯỢC NHẦM</x:v>
      </x:c>
      <x:c r="B12" s="59" t="str">
        <x:v>NĂM QUY TẮC KHÔNG ĐƯỢC NHẦM</x:v>
      </x:c>
      <x:c r="C12" s="59" t="str">
        <x:v>NĂM QUY TẮC KHÔNG ĐƯỢC NHẦM</x:v>
      </x:c>
      <x:c r="D12" s="59" t="str">
        <x:v>NĂM QUY TẮC KHÔNG ĐƯỢC NHẦM</x:v>
      </x:c>
      <x:c r="E12" s="59" t="str">
        <x:v>NĂM QUY TẮC KHÔNG ĐƯỢC NHẦM</x:v>
      </x:c>
      <x:c r="F12" s="59" t="str">
        <x:v>NĂM QUY TẮC KHÔNG ĐƯỢC NHẦM</x:v>
      </x:c>
      <x:c r="G12" s="59" t="str">
        <x:v>NĂM QUY TẮC KHÔNG ĐƯỢC NHẦM</x:v>
      </x:c>
      <x:c r="H12" s="59" t="str">
        <x:v>NĂM QUY TẮC KHÔNG ĐƯỢC NHẦM</x:v>
      </x:c>
      <x:c r="I12" s="59" t="str">
        <x:v>NĂM QUY TẮC KHÔNG ĐƯỢC NHẦM</x:v>
      </x:c>
      <x:c r="J12" s="59" t="str">
        <x:v>NĂM QUY TẮC KHÔNG ĐƯỢC NHẦM</x:v>
      </x:c>
      <x:c r="K12" s="59" t="str">
        <x:v>NĂM QUY TẮC KHÔNG ĐƯỢC NHẦM</x:v>
      </x:c>
    </x:row>
    <x:row r="13" ht="34" customHeight="1">
      <x:c r="A13" s="115" t="str">
        <x:v>1</x:v>
      </x:c>
      <x:c r="B13" s="72" t="str">
        <x:v>152/152 chỉ chứng minh ZIP release 8.4.6-C; không chứng minh tài liệu sống đã được chép đủ.</x:v>
      </x:c>
      <x:c r="C13" s="72"/>
      <x:c r="D13" s="72"/>
      <x:c r="E13" s="72"/>
      <x:c r="F13" s="72"/>
      <x:c r="G13" s="72"/>
      <x:c r="H13" s="72"/>
      <x:c r="I13" s="72"/>
      <x:c r="J13" s="72"/>
      <x:c r="K13" s="72"/>
    </x:row>
    <x:row r="14" ht="34" customHeight="1">
      <x:c r="A14" s="115" t="str">
        <x:v>2</x:v>
      </x:c>
      <x:c r="B14" s="72" t="str">
        <x:v>Nguồn có byte phải khóa SHA-256; nguồn sống phải khóa URL, ngày audit và section đã dùng.</x:v>
      </x:c>
      <x:c r="C14" s="72"/>
      <x:c r="D14" s="72"/>
      <x:c r="E14" s="72"/>
      <x:c r="F14" s="72"/>
      <x:c r="G14" s="72"/>
      <x:c r="H14" s="72"/>
      <x:c r="I14" s="72"/>
      <x:c r="J14" s="72"/>
      <x:c r="K14" s="72"/>
    </x:row>
    <x:row r="15" ht="34" customHeight="1">
      <x:c r="A15" s="115" t="str">
        <x:v>3</x:v>
      </x:c>
      <x:c r="B15" s="72" t="str">
        <x:v>Không dùng thông tin model, giá, luật, API hoặc sản phẩm đã cũ mà không kiểm chứng nguồn hiện hành.</x:v>
      </x:c>
      <x:c r="C15" s="72"/>
      <x:c r="D15" s="72"/>
      <x:c r="E15" s="72"/>
      <x:c r="F15" s="72"/>
      <x:c r="G15" s="72"/>
      <x:c r="H15" s="72"/>
      <x:c r="I15" s="72"/>
      <x:c r="J15" s="72"/>
      <x:c r="K15" s="72"/>
    </x:row>
    <x:row r="16" ht="34" customHeight="1">
      <x:c r="A16" s="115" t="str">
        <x:v>4</x:v>
      </x:c>
      <x:c r="B16" s="72" t="str">
        <x:v>Khi tác giả cập nhật ngoài release, thêm version nguồn bổ sung; không sửa âm thầm snapshot cũ.</x:v>
      </x:c>
      <x:c r="C16" s="72"/>
      <x:c r="D16" s="72"/>
      <x:c r="E16" s="72"/>
      <x:c r="F16" s="72"/>
      <x:c r="G16" s="72"/>
      <x:c r="H16" s="72"/>
      <x:c r="I16" s="72"/>
      <x:c r="J16" s="72"/>
      <x:c r="K16" s="72"/>
    </x:row>
    <x:row r="17" ht="34" customHeight="1">
      <x:c r="A17" s="115" t="str">
        <x:v>5</x:v>
      </x:c>
      <x:c r="B17" s="72" t="str">
        <x:v>Mọi kết luận chuyển đổi phải ghi rõ dựa trên baseline, snapshot bổ sung hay tài liệu sống.</x:v>
      </x:c>
      <x:c r="C17" s="72"/>
      <x:c r="D17" s="72"/>
      <x:c r="E17" s="72"/>
      <x:c r="F17" s="72"/>
      <x:c r="G17" s="72"/>
      <x:c r="H17" s="72"/>
      <x:c r="I17" s="72"/>
      <x:c r="J17" s="72"/>
      <x:c r="K17" s="72"/>
    </x:row>
  </x:sheetData>
  <x:mergeCells>
    <x:mergeCell ref="A1:K1"/>
    <x:mergeCell ref="A2:K2"/>
    <x:mergeCell ref="A12:K12"/>
    <x:mergeCell ref="B13:K13"/>
    <x:mergeCell ref="B14:K14"/>
    <x:mergeCell ref="B15:K15"/>
    <x:mergeCell ref="B16:K16"/>
    <x:mergeCell ref="B17:K17"/>
  </x:mergeCells>
  <x:pageMargins left="0.7" right="0.7" top="0.75" bottom="0.75" header="0.3" footer="0.3"/>
  <x:tableParts count="1">
    <x:tablePart xmlns:r="http://schemas.openxmlformats.org/officeDocument/2006/relationships" r:id="Rfd08126266724e1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12" hidden="0" customWidth="1"/>
    <x:col min="2" max="2" width="42" hidden="0" customWidth="1"/>
    <x:col min="3" max="3" width="38" hidden="0" customWidth="1"/>
    <x:col min="4" max="4" width="38" hidden="0" customWidth="1"/>
    <x:col min="5" max="5" width="38" hidden="0" customWidth="1"/>
    <x:col min="6" max="6" width="36" hidden="0" customWidth="1"/>
    <x:col min="7" max="7" width="34" hidden="0" customWidth="1"/>
    <x:col min="8" max="8" width="38" hidden="0" customWidth="1"/>
  </x:cols>
  <x:sheetData>
    <x:row r="1" ht="34" customHeight="1">
      <x:c r="A1" s="4" t="str">
        <x:v>IDEA COMPASS — TỪ Ý TƯỞNG MƠ HỒ ĐẾN BƯỚC THỬ CÓ CĂN CỨ</x:v>
      </x:c>
      <x:c r="B1" s="4" t="str">
        <x:v>IDEA COMPASS — TỪ Ý TƯỞNG MƠ HỒ ĐẾN BƯỚC THỬ CÓ CĂN CỨ</x:v>
      </x:c>
      <x:c r="C1" s="4" t="str">
        <x:v>IDEA COMPASS — TỪ Ý TƯỞNG MƠ HỒ ĐẾN BƯỚC THỬ CÓ CĂN CỨ</x:v>
      </x:c>
      <x:c r="D1" s="4" t="str">
        <x:v>IDEA COMPASS — TỪ Ý TƯỞNG MƠ HỒ ĐẾN BƯỚC THỬ CÓ CĂN CỨ</x:v>
      </x:c>
      <x:c r="E1" s="4" t="str">
        <x:v>IDEA COMPASS — TỪ Ý TƯỞNG MƠ HỒ ĐẾN BƯỚC THỬ CÓ CĂN CỨ</x:v>
      </x:c>
      <x:c r="F1" s="4" t="str">
        <x:v>IDEA COMPASS — TỪ Ý TƯỞNG MƠ HỒ ĐẾN BƯỚC THỬ CÓ CĂN CỨ</x:v>
      </x:c>
      <x:c r="G1" s="4" t="str">
        <x:v>IDEA COMPASS — TỪ Ý TƯỞNG MƠ HỒ ĐẾN BƯỚC THỬ CÓ CĂN CỨ</x:v>
      </x:c>
      <x:c r="H1" s="4" t="str">
        <x:v>IDEA COMPASS — TỪ Ý TƯỞNG MƠ HỒ ĐẾN BƯỚC THỬ CÓ CĂN CỨ</x:v>
      </x:c>
    </x:row>
    <x:row r="2" ht="32" customHeight="1">
      <x:c r="A2" s="8" t="str">
        <x:v>Dùng với $p2p-idea. Mục tiêu là phương án phù hợp nhất dưới dữ kiện hiện tại, không phải lời hứa chắc chắn đúng.</x:v>
      </x:c>
      <x:c r="B2" s="8" t="str">
        <x:v>Dùng với $p2p-idea. Mục tiêu là phương án phù hợp nhất dưới dữ kiện hiện tại, không phải lời hứa chắc chắn đúng.</x:v>
      </x:c>
      <x:c r="C2" s="8" t="str">
        <x:v>Dùng với $p2p-idea. Mục tiêu là phương án phù hợp nhất dưới dữ kiện hiện tại, không phải lời hứa chắc chắn đúng.</x:v>
      </x:c>
      <x:c r="D2" s="8" t="str">
        <x:v>Dùng với $p2p-idea. Mục tiêu là phương án phù hợp nhất dưới dữ kiện hiện tại, không phải lời hứa chắc chắn đúng.</x:v>
      </x:c>
      <x:c r="E2" s="8" t="str">
        <x:v>Dùng với $p2p-idea. Mục tiêu là phương án phù hợp nhất dưới dữ kiện hiện tại, không phải lời hứa chắc chắn đúng.</x:v>
      </x:c>
      <x:c r="F2" s="8" t="str">
        <x:v>Dùng với $p2p-idea. Mục tiêu là phương án phù hợp nhất dưới dữ kiện hiện tại, không phải lời hứa chắc chắn đúng.</x:v>
      </x:c>
      <x:c r="G2" s="8" t="str">
        <x:v>Dùng với $p2p-idea. Mục tiêu là phương án phù hợp nhất dưới dữ kiện hiện tại, không phải lời hứa chắc chắn đúng.</x:v>
      </x:c>
      <x:c r="H2" s="8" t="str">
        <x:v>Dùng với $p2p-idea. Mục tiêu là phương án phù hợp nhất dưới dữ kiện hiện tại, không phải lời hứa chắc chắn đúng.</x:v>
      </x:c>
    </x:row>
    <x:row r="4">
      <x:c r="A4" s="59" t="str">
        <x:v>MẪU LỆNH CHO NGƯỜI MỚI</x:v>
      </x:c>
      <x:c r="B4" s="59" t="str">
        <x:v>MẪU LỆNH CHO NGƯỜI MỚI</x:v>
      </x:c>
      <x:c r="C4" s="59" t="str">
        <x:v>MẪU LỆNH CHO NGƯỜI MỚI</x:v>
      </x:c>
      <x:c r="D4" s="59" t="str">
        <x:v>MẪU LỆNH CHO NGƯỜI MỚI</x:v>
      </x:c>
      <x:c r="E4" s="59" t="str">
        <x:v>MẪU LỆNH CHO NGƯỜI MỚI</x:v>
      </x:c>
      <x:c r="F4" s="59" t="str">
        <x:v>MẪU LỆNH CHO NGƯỜI MỚI</x:v>
      </x:c>
      <x:c r="G4" s="59" t="str">
        <x:v>MẪU LỆNH CHO NGƯỜI MỚI</x:v>
      </x:c>
      <x:c r="H4" s="59" t="str">
        <x:v>MẪU LỆNH CHO NGƯỜI MỚI</x:v>
      </x:c>
    </x:row>
    <x:row r="5">
      <x:c r="A5" s="132"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B5" s="133"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C5" s="133"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D5" s="133"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E5" s="133"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F5" s="133"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G5" s="133"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H5" s="13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row>
    <x:row r="6">
      <x:c r="A6" s="135"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B6"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C6"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D6"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E6"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F6"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G6"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H6" s="136"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row>
    <x:row r="7">
      <x:c r="A7" s="135"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B7"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C7"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D7"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E7"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F7"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G7" s="84"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H7" s="136"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row>
    <x:row r="8">
      <x:c r="A8" s="137"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B8" s="138"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C8" s="138"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D8" s="138"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E8" s="138"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F8" s="138"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G8" s="138"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c r="H8" s="139" t="str">
        <x:v>Dùng $p2p-idea cho ý tưởng: [viết tự nhiên]. Tôi là người mới. Nếu thiếu dữ kiện, chỉ hỏi tối đa 3 câu có thể làm thay đổi quyết định. Hãy so sánh các lựa chọn thực tế, đề xuất một lựa chọn phù hợp nhất hiện tại, nêu mức tin cậy/giả định/điều có thể đảo kết luận và cho tôi một bước thử nhỏ có tiêu chí dừng hoặc tiếp tục.</x:v>
      </x:c>
    </x:row>
    <x:row r="10">
      <x:c r="A10" s="59" t="str">
        <x:v>7 BƯỚC AI PHẢI LÀM</x:v>
      </x:c>
      <x:c r="B10" s="59" t="str">
        <x:v>7 BƯỚC AI PHẢI LÀM</x:v>
      </x:c>
      <x:c r="C10" s="59" t="str">
        <x:v>7 BƯỚC AI PHẢI LÀM</x:v>
      </x:c>
      <x:c r="D10" s="59" t="str">
        <x:v>7 BƯỚC AI PHẢI LÀM</x:v>
      </x:c>
      <x:c r="E10" s="59" t="str">
        <x:v>7 BƯỚC AI PHẢI LÀM</x:v>
      </x:c>
      <x:c r="F10" s="59" t="str">
        <x:v>7 BƯỚC AI PHẢI LÀM</x:v>
      </x:c>
      <x:c r="G10" s="59" t="str">
        <x:v>7 BƯỚC AI PHẢI LÀM</x:v>
      </x:c>
      <x:c r="H10" s="59" t="str">
        <x:v>7 BƯỚC AI PHẢI LÀM</x:v>
      </x:c>
    </x:row>
    <x:row r="11">
      <x:c r="A11" s="18" t="str">
        <x:v>Bước</x:v>
      </x:c>
      <x:c r="B11" s="18" t="str">
        <x:v>Việc AI làm</x:v>
      </x:c>
      <x:c r="C11" s="18" t="str">
        <x:v>Khi dùng</x:v>
      </x:c>
      <x:c r="D11" s="18" t="str">
        <x:v>Bằng chứng</x:v>
      </x:c>
      <x:c r="E11" s="18" t="str">
        <x:v>Đầu ra</x:v>
      </x:c>
      <x:c r="F11" s="18" t="str">
        <x:v>Route tiếp</x:v>
      </x:c>
      <x:c r="G11" s="18" t="str">
        <x:v>Phải tránh</x:v>
      </x:c>
      <x:c r="H11" s="18" t="str">
        <x:v>Gate đạt</x:v>
      </x:c>
    </x:row>
    <x:row r="12" ht="58" customHeight="1">
      <x:c r="A12" s="93" t="n">
        <x:v>1</x:v>
      </x:c>
      <x:c r="B12" s="89" t="str">
        <x:v>Nhắc lại ý tưởng</x:v>
      </x:c>
      <x:c r="C12" s="89" t="str">
        <x:v>Luôn làm</x:v>
      </x:c>
      <x:c r="D12" s="89" t="str">
        <x:v>Lời người dùng</x:v>
      </x:c>
      <x:c r="E12" s="89" t="str">
        <x:v>Một câu dễ hiểu</x:v>
      </x:c>
      <x:c r="F12" s="89" t="str">
        <x:v>Giữ nguyên mục tiêu</x:v>
      </x:c>
      <x:c r="G12" s="89" t="str">
        <x:v>Tự đổi bài toán</x:v>
      </x:c>
      <x:c r="H12" s="89" t="str">
        <x:v>Người dùng nhận ra đúng ý</x:v>
      </x:c>
    </x:row>
    <x:row r="13" ht="58" customHeight="1">
      <x:c r="A13" s="93" t="n">
        <x:v>2</x:v>
      </x:c>
      <x:c r="B13" s="89" t="str">
        <x:v>Tách biết/chưa biết</x:v>
      </x:c>
      <x:c r="C13" s="89" t="str">
        <x:v>Luôn làm</x:v>
      </x:c>
      <x:c r="D13" s="89" t="str">
        <x:v>Fact, giả định, unknown</x:v>
      </x:c>
      <x:c r="E13" s="89" t="str">
        <x:v>Khoảng trống quyết định</x:v>
      </x:c>
      <x:c r="F13" s="89" t="str">
        <x:v>Không cần workflow khác</x:v>
      </x:c>
      <x:c r="G13" s="89" t="str">
        <x:v>Trộn giả định thành fact</x:v>
      </x:c>
      <x:c r="H13" s="89" t="str">
        <x:v>Rõ điều còn thiếu</x:v>
      </x:c>
    </x:row>
    <x:row r="14" ht="58" customHeight="1">
      <x:c r="A14" s="93" t="n">
        <x:v>3</x:v>
      </x:c>
      <x:c r="B14" s="89" t="str">
        <x:v>Hỏi tối đa 3 câu</x:v>
      </x:c>
      <x:c r="C14" s="89" t="str">
        <x:v>Chỉ khi câu trả lời làm đổi lựa chọn</x:v>
      </x:c>
      <x:c r="D14" s="89" t="str">
        <x:v>Outcome, bằng chứng, nguồn lực, giới hạn, success</x:v>
      </x:c>
      <x:c r="E14" s="89" t="str">
        <x:v>Câu ngắn hoặc lựa chọn</x:v>
      </x:c>
      <x:c r="F14" s="89" t="str">
        <x:v>Tiếp tục nếu không blocking</x:v>
      </x:c>
      <x:c r="G14" s="89" t="str">
        <x:v>Bảng hỏi dài</x:v>
      </x:c>
      <x:c r="H14" s="89" t="str">
        <x:v>Information gain cao</x:v>
      </x:c>
    </x:row>
    <x:row r="15" ht="58" customHeight="1">
      <x:c r="A15" s="93" t="n">
        <x:v>4</x:v>
      </x:c>
      <x:c r="B15" s="89" t="str">
        <x:v>Kiểm chứng dữ kiện sống</x:v>
      </x:c>
      <x:c r="C15" s="89" t="str">
        <x:v>Giá, luật, sản phẩm, thị trường, API</x:v>
      </x:c>
      <x:c r="D15" s="89" t="str">
        <x:v>Nguồn chính thức/primary</x:v>
      </x:c>
      <x:c r="E15" s="89" t="str">
        <x:v>Fact có link và ngày</x:v>
      </x:c>
      <x:c r="F15" s="89" t="str">
        <x:v>Hạ confidence nếu không truy cập</x:v>
      </x:c>
      <x:c r="G15" s="89" t="str">
        <x:v>Dùng trí nhớ cũ</x:v>
      </x:c>
      <x:c r="H15" s="89" t="str">
        <x:v>Nguồn hỗ trợ trực tiếp</x:v>
      </x:c>
    </x:row>
    <x:row r="16" ht="58" customHeight="1">
      <x:c r="A16" s="93" t="n">
        <x:v>5</x:v>
      </x:c>
      <x:c r="B16" s="89" t="str">
        <x:v>So sánh 2–3 phương án</x:v>
      </x:c>
      <x:c r="C16" s="89" t="str">
        <x:v>Khi có lựa chọn thật</x:v>
      </x:c>
      <x:c r="D16" s="89" t="str">
        <x:v>Fit, evidence, feasibility, risk, reversibility</x:v>
      </x:c>
      <x:c r="E16" s="89" t="str">
        <x:v>Bảng ngắn</x:v>
      </x:c>
      <x:c r="F16" s="89" t="str">
        <x:v>$p2p-explore nếu cần mở rộng</x:v>
      </x:c>
      <x:c r="G16" s="89" t="str">
        <x:v>Nhiều biến thể giả</x:v>
      </x:c>
      <x:c r="H16" s="89" t="str">
        <x:v>Khác nhau có ý nghĩa</x:v>
      </x:c>
    </x:row>
    <x:row r="17" ht="58" customHeight="1">
      <x:c r="A17" s="93" t="n">
        <x:v>6</x:v>
      </x:c>
      <x:c r="B17" s="89" t="str">
        <x:v>Khuyến nghị một hướng</x:v>
      </x:c>
      <x:c r="C17" s="89" t="str">
        <x:v>Sau khi đủ bằng chứng</x:v>
      </x:c>
      <x:c r="D17" s="89" t="str">
        <x:v>Lý do, giả định, confidence</x:v>
      </x:c>
      <x:c r="E17" s="89" t="str">
        <x:v>Phương án chính + fallback</x:v>
      </x:c>
      <x:c r="F17" s="89" t="str">
        <x:v>$p2p-scope khi đã chọn</x:v>
      </x:c>
      <x:c r="G17" s="89" t="str">
        <x:v>Nói ‘tốt nhất’ tuyệt đối</x:v>
      </x:c>
      <x:c r="H17" s="89" t="str">
        <x:v>Nêu điều đảo kết luận</x:v>
      </x:c>
    </x:row>
    <x:row r="18" ht="58" customHeight="1">
      <x:c r="A18" s="93" t="n">
        <x:v>7</x:v>
      </x:c>
      <x:c r="B18" s="89" t="str">
        <x:v>Tạo bước thử nhỏ</x:v>
      </x:c>
      <x:c r="C18" s="89" t="str">
        <x:v>Trước triển khai lớn</x:v>
      </x:c>
      <x:c r="D18" s="89" t="str">
        <x:v>Đối tượng, thước đo, cap, stop/go</x:v>
      </x:c>
      <x:c r="E18" s="89" t="str">
        <x:v>Một thử nghiệm đảo ngược được</x:v>
      </x:c>
      <x:c r="F18" s="89" t="str">
        <x:v>Thu feedback rồi đánh giá lại</x:v>
      </x:c>
      <x:c r="G18" s="89" t="str">
        <x:v>Xây toàn bộ ngay</x:v>
      </x:c>
      <x:c r="H18" s="89" t="str">
        <x:v>Có bằng chứng mới</x:v>
      </x:c>
    </x:row>
    <x:row r="21">
      <x:c r="A21" s="59" t="str">
        <x:v>BẢNG ĐIỂM VÀ MỨC TIN CẬY</x:v>
      </x:c>
      <x:c r="B21" s="59" t="str">
        <x:v>BẢNG ĐIỂM VÀ MỨC TIN CẬY</x:v>
      </x:c>
      <x:c r="C21" s="59" t="str">
        <x:v>BẢNG ĐIỂM VÀ MỨC TIN CẬY</x:v>
      </x:c>
      <x:c r="D21" s="59" t="str">
        <x:v>BẢNG ĐIỂM VÀ MỨC TIN CẬY</x:v>
      </x:c>
      <x:c r="E21" s="59" t="str">
        <x:v>BẢNG ĐIỂM VÀ MỨC TIN CẬY</x:v>
      </x:c>
      <x:c r="F21" s="59" t="str">
        <x:v>BẢNG ĐIỂM VÀ MỨC TIN CẬY</x:v>
      </x:c>
      <x:c r="G21" s="59" t="str">
        <x:v>BẢNG ĐIỂM VÀ MỨC TIN CẬY</x:v>
      </x:c>
      <x:c r="H21" s="59" t="str">
        <x:v>BẢNG ĐIỂM VÀ MỨC TIN CẬY</x:v>
      </x:c>
    </x:row>
    <x:row r="22">
      <x:c r="A22" s="18" t="str">
        <x:v>Trục</x:v>
      </x:c>
      <x:c r="B22" s="18" t="str">
        <x:v>Trọng số</x:v>
      </x:c>
      <x:c r="C22" s="18" t="str">
        <x:v>Ý nghĩa</x:v>
      </x:c>
      <x:c r="E22" s="159"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F22" s="160"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G22" s="160"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H22" s="161"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row>
    <x:row r="23">
      <x:c r="A23" s="72" t="str">
        <x:v>Fit</x:v>
      </x:c>
      <x:c r="B23" s="140" t="n">
        <x:v>0.3</x:v>
      </x:c>
      <x:c r="C23" s="72" t="str">
        <x:v>Khớp mục tiêu, người dùng và giới hạn</x:v>
      </x:c>
      <x:c r="E23" s="162"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F23"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G23"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H23" s="164"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row>
    <x:row r="24">
      <x:c r="A24" s="72" t="str">
        <x:v>Evidence</x:v>
      </x:c>
      <x:c r="B24" s="140" t="n">
        <x:v>0.25</x:v>
      </x:c>
      <x:c r="C24" s="72" t="str">
        <x:v>Có bằng chứng trực tiếp/hiện hành</x:v>
      </x:c>
      <x:c r="E24" s="162"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F24"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G24"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H24" s="164"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row>
    <x:row r="25">
      <x:c r="A25" s="72" t="str">
        <x:v>Feasibility</x:v>
      </x:c>
      <x:c r="B25" s="140" t="n">
        <x:v>0.2</x:v>
      </x:c>
      <x:c r="C25" s="72" t="str">
        <x:v>Làm được với tiền, thời gian, kỹ năng và quyền truy cập</x:v>
      </x:c>
      <x:c r="E25" s="162"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F25"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G25"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H25" s="164"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row>
    <x:row r="26">
      <x:c r="A26" s="72" t="str">
        <x:v>Risk safety</x:v>
      </x:c>
      <x:c r="B26" s="140" t="n">
        <x:v>0.15</x:v>
      </x:c>
      <x:c r="C26" s="72" t="str">
        <x:v>Giới hạn tác hại, pháp lý, riêng tư và bảo mật</x:v>
      </x:c>
      <x:c r="E26" s="162"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F26"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G26" s="163"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H26" s="164"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row>
    <x:row r="27">
      <x:c r="A27" s="72" t="str">
        <x:v>Reversibility</x:v>
      </x:c>
      <x:c r="B27" s="140" t="n">
        <x:v>0.1</x:v>
      </x:c>
      <x:c r="C27" s="72" t="str">
        <x:v>Thử hoặc quay lui với chi phí thấp</x:v>
      </x:c>
      <x:c r="E27" s="165"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F27" s="166"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G27" s="166"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c r="H27" s="167" t="str">
        <x:v>HIGH: giới hạn quan trọng đã rõ, bằng chứng trực tiếp/hiện hành, bước thử khả thi và đảo ngược được.
MEDIUM: còn 1–2 giả định quan trọng hoặc bằng chứng chưa đầy đủ.
LOW: thiếu dữ kiện có thể đảo quyết định, nguồn gián tiếp/cũ hoặc phụ thuộc yếu tố ngoài kiểm soát.
Điểm số chỉ xếp hạng các phương án đã nêu; không phải xác suất thành công.</x:v>
      </x:c>
    </x:row>
    <x:row r="30">
      <x:c r="A30" s="59" t="str">
        <x:v>CẤU TRÚC BƯỚC THỬ ĐẦU TIÊN</x:v>
      </x:c>
      <x:c r="B30" s="59" t="str">
        <x:v>CẤU TRÚC BƯỚC THỬ ĐẦU TIÊN</x:v>
      </x:c>
      <x:c r="C30" s="59" t="str">
        <x:v>CẤU TRÚC BƯỚC THỬ ĐẦU TIÊN</x:v>
      </x:c>
      <x:c r="D30" s="59" t="str">
        <x:v>CẤU TRÚC BƯỚC THỬ ĐẦU TIÊN</x:v>
      </x:c>
      <x:c r="E30" s="59" t="str">
        <x:v>CẤU TRÚC BƯỚC THỬ ĐẦU TIÊN</x:v>
      </x:c>
      <x:c r="F30" s="59" t="str">
        <x:v>CẤU TRÚC BƯỚC THỬ ĐẦU TIÊN</x:v>
      </x:c>
      <x:c r="G30" s="59" t="str">
        <x:v>CẤU TRÚC BƯỚC THỬ ĐẦU TIÊN</x:v>
      </x:c>
      <x:c r="H30" s="59" t="str">
        <x:v>CẤU TRÚC BƯỚC THỬ ĐẦU TIÊN</x:v>
      </x:c>
    </x:row>
    <x:row r="31" ht="36" customHeight="1">
      <x:c r="A31" s="169" t="str">
        <x:v>Hành động</x:v>
      </x:c>
      <x:c r="B31" s="72" t="str">
        <x:v>Việc nhỏ nhất có thể tạo bằng chứng, không phải toàn bộ dự án.</x:v>
      </x:c>
      <x:c r="C31" s="72"/>
      <x:c r="D31" s="72"/>
      <x:c r="E31" s="72"/>
      <x:c r="F31" s="72"/>
      <x:c r="G31" s="72"/>
      <x:c r="H31" s="72"/>
    </x:row>
    <x:row r="32" ht="36" customHeight="1">
      <x:c r="A32" s="169" t="str">
        <x:v>Đối tượng</x:v>
      </x:c>
      <x:c r="B32" s="72" t="str">
        <x:v>Khách hàng/người dùng/mẫu dữ liệu hoặc môi trường sandbox cụ thể.</x:v>
      </x:c>
      <x:c r="C32" s="72"/>
      <x:c r="D32" s="72"/>
      <x:c r="E32" s="72"/>
      <x:c r="F32" s="72"/>
      <x:c r="G32" s="72"/>
      <x:c r="H32" s="72"/>
    </x:row>
    <x:row r="33" ht="36" customHeight="1">
      <x:c r="A33" s="169" t="str">
        <x:v>Thước đo</x:v>
      </x:c>
      <x:c r="B33" s="72" t="str">
        <x:v>Một tín hiệu quan sát được, ví dụ hoàn thành task, phản hồi có cấu trúc hoặc chuyển đổi.</x:v>
      </x:c>
      <x:c r="C33" s="72"/>
      <x:c r="D33" s="72"/>
      <x:c r="E33" s="72"/>
      <x:c r="F33" s="72"/>
      <x:c r="G33" s="72"/>
      <x:c r="H33" s="72"/>
    </x:row>
    <x:row r="34" ht="36" customHeight="1">
      <x:c r="A34" s="169" t="str">
        <x:v>Giới hạn</x:v>
      </x:c>
      <x:c r="B34" s="72" t="str">
        <x:v>Thời gian/chi phí/dữ liệu/phạm vi tối đa trước khi dừng đánh giá.</x:v>
      </x:c>
      <x:c r="C34" s="72"/>
      <x:c r="D34" s="72"/>
      <x:c r="E34" s="72"/>
      <x:c r="F34" s="72"/>
      <x:c r="G34" s="72"/>
      <x:c r="H34" s="72"/>
    </x:row>
    <x:row r="35" ht="36" customHeight="1">
      <x:c r="A35" s="169" t="str">
        <x:v>Quy tắc</x:v>
      </x:c>
      <x:c r="B35" s="72" t="str">
        <x:v>Continue nếu đạt ngưỡng; revise hoặc stop nếu không đạt. Ghi feedback để vòng sau chính xác hơn.</x:v>
      </x:c>
      <x:c r="C35" s="72"/>
      <x:c r="D35" s="72"/>
      <x:c r="E35" s="72"/>
      <x:c r="F35" s="72"/>
      <x:c r="G35" s="72"/>
      <x:c r="H35" s="72"/>
    </x:row>
    <x:row r="38">
      <x:c r="A38" s="59" t="str">
        <x:v>VÍ DỤ DÙNG NGAY</x:v>
      </x:c>
      <x:c r="B38" s="59" t="str">
        <x:v>VÍ DỤ DÙNG NGAY</x:v>
      </x:c>
      <x:c r="C38" s="59" t="str">
        <x:v>VÍ DỤ DÙNG NGAY</x:v>
      </x:c>
      <x:c r="D38" s="59" t="str">
        <x:v>VÍ DỤ DÙNG NGAY</x:v>
      </x:c>
      <x:c r="E38" s="59" t="str">
        <x:v>VÍ DỤ DÙNG NGAY</x:v>
      </x:c>
      <x:c r="F38" s="59" t="str">
        <x:v>VÍ DỤ DÙNG NGAY</x:v>
      </x:c>
      <x:c r="G38" s="59" t="str">
        <x:v>VÍ DỤ DÙNG NGAY</x:v>
      </x:c>
      <x:c r="H38" s="59" t="str">
        <x:v>VÍ DỤ DÙNG NGAY</x:v>
      </x:c>
    </x:row>
    <x:row r="39">
      <x:c r="A39" s="188"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B39" s="189"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C39" s="189"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D39" s="189"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E39" s="189"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F39" s="189"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G39" s="189"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H39" s="190"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row>
    <x:row r="40">
      <x:c r="A40" s="191"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B40"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C40"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D40"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E40"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F40"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G40"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H40" s="193"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row>
    <x:row r="41">
      <x:c r="A41" s="191"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B41"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C41"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D41"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E41"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F41"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G41"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H41" s="193"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row>
    <x:row r="42">
      <x:c r="A42" s="191"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B42"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C42"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D42"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E42"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F42"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G42" s="192"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H42" s="193"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row>
    <x:row r="43">
      <x:c r="A43" s="194"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B43" s="195"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C43" s="195"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D43" s="195"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E43" s="195"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F43" s="195"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G43" s="195"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c r="H43" s="196" t="str">
        <x:v>Dùng $p2p-idea cho ý tưởng: tôi muốn tìm khách có nhu cầu vận chuyển hàng từ Trung Quốc về Việt Nam. Tôi là người mới. Chỉ hỏi tối đa 3 câu làm thay đổi quyết định; hãy kiểm tra dữ kiện thị trường hiện hành nếu cần, đề xuất kênh thử phù hợp nhất, nêu mức tin cậy và cho tôi một thử nghiệm 7 ngày có thước đo/giới hạn/điều kiện dừng.</x:v>
      </x:c>
    </x:row>
  </x:sheetData>
  <x:mergeCells>
    <x:mergeCell ref="A1:H1"/>
    <x:mergeCell ref="A2:H2"/>
    <x:mergeCell ref="A4:H4"/>
    <x:mergeCell ref="A5:H8"/>
    <x:mergeCell ref="A10:H10"/>
    <x:mergeCell ref="A21:H21"/>
    <x:mergeCell ref="E22:H27"/>
    <x:mergeCell ref="A30:H30"/>
    <x:mergeCell ref="B31:H31"/>
    <x:mergeCell ref="B32:H32"/>
    <x:mergeCell ref="B33:H33"/>
    <x:mergeCell ref="B34:H34"/>
    <x:mergeCell ref="B35:H35"/>
    <x:mergeCell ref="A38:H38"/>
    <x:mergeCell ref="A39:H43"/>
  </x:mergeCells>
  <x:pageMargins left="0.7" right="0.7" top="0.75" bottom="0.75" header="0.3" footer="0.3"/>
  <x:tableParts count="1">
    <x:tablePart xmlns:r="http://schemas.openxmlformats.org/officeDocument/2006/relationships" r:id="R709d328a0ed2459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4" hidden="0" customWidth="1"/>
    <x:col min="2" max="2" width="34" hidden="0" customWidth="1"/>
    <x:col min="3" max="3" width="42" hidden="0" customWidth="1"/>
    <x:col min="4" max="4" width="48" hidden="0" customWidth="1"/>
    <x:col min="5" max="5" width="30" hidden="0" customWidth="1"/>
    <x:col min="6" max="6" width="42" hidden="0" customWidth="1"/>
    <x:col min="7" max="7" width="38" hidden="0" customWidth="1"/>
    <x:col min="8" max="8" width="42" hidden="0" customWidth="1"/>
  </x:cols>
  <x:sheetData>
    <x:row r="1" ht="34" customHeight="1">
      <x:c r="A1" s="4" t="str">
        <x:v>QUY TRÌNH CẬP NHẬT — DÙNG LẠI BẢN ĐỒ KHI P2P CÓ RELEASE MỚI</x:v>
      </x:c>
      <x:c r="B1" s="4" t="str">
        <x:v>QUY TRÌNH CẬP NHẬT — DÙNG LẠI BẢN ĐỒ KHI P2P CÓ RELEASE MỚI</x:v>
      </x:c>
      <x:c r="C1" s="4" t="str">
        <x:v>QUY TRÌNH CẬP NHẬT — DÙNG LẠI BẢN ĐỒ KHI P2P CÓ RELEASE MỚI</x:v>
      </x:c>
      <x:c r="D1" s="4" t="str">
        <x:v>QUY TRÌNH CẬP NHẬT — DÙNG LẠI BẢN ĐỒ KHI P2P CÓ RELEASE MỚI</x:v>
      </x:c>
      <x:c r="E1" s="4" t="str">
        <x:v>QUY TRÌNH CẬP NHẬT — DÙNG LẠI BẢN ĐỒ KHI P2P CÓ RELEASE MỚI</x:v>
      </x:c>
      <x:c r="F1" s="4" t="str">
        <x:v>QUY TRÌNH CẬP NHẬT — DÙNG LẠI BẢN ĐỒ KHI P2P CÓ RELEASE MỚI</x:v>
      </x:c>
      <x:c r="G1" s="4" t="str">
        <x:v>QUY TRÌNH CẬP NHẬT — DÙNG LẠI BẢN ĐỒ KHI P2P CÓ RELEASE MỚI</x:v>
      </x:c>
      <x:c r="H1" s="4" t="str">
        <x:v>QUY TRÌNH CẬP NHẬT — DÙNG LẠI BẢN ĐỒ KHI P2P CÓ RELEASE MỚI</x:v>
      </x:c>
    </x:row>
    <x:row r="2" ht="32" customHeight="1">
      <x:c r="A2" s="8" t="str">
        <x:v>Mục tiêu: một AI ở chat khác vẫn có thể tiếp tục chính xác khi được cung cấp workbook master, release mới và nguồn bổ sung mới nếu có. Không dựa vào trí nhớ mơ hồ của chat cũ.</x:v>
      </x:c>
      <x:c r="B2" s="8" t="str">
        <x:v>Mục tiêu: một AI ở chat khác vẫn có thể tiếp tục chính xác khi được cung cấp workbook master, release mới và nguồn bổ sung mới nếu có. Không dựa vào trí nhớ mơ hồ của chat cũ.</x:v>
      </x:c>
      <x:c r="C2" s="8" t="str">
        <x:v>Mục tiêu: một AI ở chat khác vẫn có thể tiếp tục chính xác khi được cung cấp workbook master, release mới và nguồn bổ sung mới nếu có. Không dựa vào trí nhớ mơ hồ của chat cũ.</x:v>
      </x:c>
      <x:c r="D2" s="8" t="str">
        <x:v>Mục tiêu: một AI ở chat khác vẫn có thể tiếp tục chính xác khi được cung cấp workbook master, release mới và nguồn bổ sung mới nếu có. Không dựa vào trí nhớ mơ hồ của chat cũ.</x:v>
      </x:c>
      <x:c r="E2" s="8" t="str">
        <x:v>Mục tiêu: một AI ở chat khác vẫn có thể tiếp tục chính xác khi được cung cấp workbook master, release mới và nguồn bổ sung mới nếu có. Không dựa vào trí nhớ mơ hồ của chat cũ.</x:v>
      </x:c>
      <x:c r="F2" s="8" t="str">
        <x:v>Mục tiêu: một AI ở chat khác vẫn có thể tiếp tục chính xác khi được cung cấp workbook master, release mới và nguồn bổ sung mới nếu có. Không dựa vào trí nhớ mơ hồ của chat cũ.</x:v>
      </x:c>
      <x:c r="G2" s="8" t="str">
        <x:v>Mục tiêu: một AI ở chat khác vẫn có thể tiếp tục chính xác khi được cung cấp workbook master, release mới và nguồn bổ sung mới nếu có. Không dựa vào trí nhớ mơ hồ của chat cũ.</x:v>
      </x:c>
      <x:c r="H2" s="8" t="str">
        <x:v>Mục tiêu: một AI ở chat khác vẫn có thể tiếp tục chính xác khi được cung cấp workbook master, release mới và nguồn bổ sung mới nếu có. Không dựa vào trí nhớ mơ hồ của chat cũ.</x:v>
      </x:c>
    </x:row>
    <x:row r="4">
      <x:c r="A4" s="59" t="str">
        <x:v>CÁCH TỔ CHỨC ĐỂ CHAT MỚI CÓ ĐỦ NGỮ CẢNH</x:v>
      </x:c>
      <x:c r="B4" s="59" t="str">
        <x:v>CÁCH TỔ CHỨC ĐỂ CHAT MỚI CÓ ĐỦ NGỮ CẢNH</x:v>
      </x:c>
      <x:c r="C4" s="59" t="str">
        <x:v>CÁCH TỔ CHỨC ĐỂ CHAT MỚI CÓ ĐỦ NGỮ CẢNH</x:v>
      </x:c>
      <x:c r="D4" s="59" t="str">
        <x:v>CÁCH TỔ CHỨC ĐỂ CHAT MỚI CÓ ĐỦ NGỮ CẢNH</x:v>
      </x:c>
      <x:c r="E4" s="59" t="str">
        <x:v>CÁCH TỔ CHỨC ĐỂ CHAT MỚI CÓ ĐỦ NGỮ CẢNH</x:v>
      </x:c>
      <x:c r="F4" s="59" t="str">
        <x:v>CÁCH TỔ CHỨC ĐỂ CHAT MỚI CÓ ĐỦ NGỮ CẢNH</x:v>
      </x:c>
      <x:c r="G4" s="59" t="str">
        <x:v>CÁCH TỔ CHỨC ĐỂ CHAT MỚI CÓ ĐỦ NGỮ CẢNH</x:v>
      </x:c>
      <x:c r="H4" s="59" t="str">
        <x:v>CÁCH TỔ CHỨC ĐỂ CHAT MỚI CÓ ĐỦ NGỮ CẢNH</x:v>
      </x:c>
    </x:row>
    <x:row r="5">
      <x:c r="A5" s="18" t="str">
        <x:v>Môi trường</x:v>
      </x:c>
      <x:c r="B5" s="18" t="str">
        <x:v>Workbook master</x:v>
      </x:c>
      <x:c r="C5" s="18" t="str">
        <x:v>Bản P2P mới</x:v>
      </x:c>
      <x:c r="D5" s="18" t="str">
        <x:v>Mở chat</x:v>
      </x:c>
      <x:c r="E5" s="18" t="str">
        <x:v>Lệnh đầu tiên</x:v>
      </x:c>
      <x:c r="F5" s="18" t="str">
        <x:v>AI thực sự có gì</x:v>
      </x:c>
      <x:c r="G5" s="18" t="str">
        <x:v>Ưu điểm</x:v>
      </x:c>
      <x:c r="H5" s="18" t="str">
        <x:v>Điểm cần nhớ</x:v>
      </x:c>
    </x:row>
    <x:row r="6" ht="68" customHeight="1">
      <x:c r="A6" s="89" t="str">
        <x:v>ChatGPT Project — khuyến nghị</x:v>
      </x:c>
      <x:c r="B6" s="89" t="str">
        <x:v>Đưa workbook master vào Sources của Project.</x:v>
      </x:c>
      <x:c r="C6" s="89" t="str">
        <x:v>Đưa ZIP và tài liệu bổ sung mới vào Sources hoặc đính kèm trong chat cập nhật.</x:v>
      </x:c>
      <x:c r="D6" s="89" t="str">
        <x:v>Tạo chat mới bên trong đúng Project.</x:v>
      </x:c>
      <x:c r="E6" s="89" t="str">
        <x:v>Đọc Huong_dan_AI + Nguon_bo_sung và chạy UPDATE_MAP.</x:v>
      </x:c>
      <x:c r="F6" s="89" t="str">
        <x:v>Các chat dùng chung project files/instructions.</x:v>
      </x:c>
      <x:c r="G6" s="89" t="str">
        <x:v>Dễ quản lý nhiều release và tài liệu sống.</x:v>
      </x:c>
      <x:c r="H6" s="89" t="str">
        <x:v>Project không tự đọc thư mục ổ D; phải upload/connect source.</x:v>
      </x:c>
    </x:row>
    <x:row r="7" ht="68" customHeight="1">
      <x:c r="A7" s="89" t="str">
        <x:v>Chat/Work ngoài Project</x:v>
      </x:c>
      <x:c r="B7" s="89" t="str">
        <x:v>Chọn lại workbook hoặc tải file lên.</x:v>
      </x:c>
      <x:c r="C7" s="89" t="str">
        <x:v>Đính kèm ZIP và file bổ sung mới trong cùng chat.</x:v>
      </x:c>
      <x:c r="D7" s="89" t="str">
        <x:v>Tạo chat mới bình thường.</x:v>
      </x:c>
      <x:c r="E7" s="89" t="str">
        <x:v>Gửi prompt ngắn ở Huong_dan_AI.</x:v>
      </x:c>
      <x:c r="F7" s="89" t="str">
        <x:v>Chỉ file/URL được đưa vào chat mới là chắc chắn có ngữ cảnh.</x:v>
      </x:c>
      <x:c r="G7" s="89" t="str">
        <x:v>Nhanh cho một lần.</x:v>
      </x:c>
      <x:c r="H7" s="89" t="str">
        <x:v>Không nên kỳ vọng AI tự nhớ đủ 152 dòng và năm nguồn bổ sung.</x:v>
      </x:c>
    </x:row>
    <x:row r="8" ht="68" customHeight="1">
      <x:c r="A8" s="89" t="str">
        <x:v>Codex trong thư mục dự án</x:v>
      </x:c>
      <x:c r="B8" s="89" t="str">
        <x:v>Đặt workbook trong thư mục dự án, ví dụ docs/p2p-map/.</x:v>
      </x:c>
      <x:c r="C8" s="89" t="str">
        <x:v>Đặt ZIP mới ở input/releases/; thêm snapshot ngoài release và chỉ rõ URL sống.</x:v>
      </x:c>
      <x:c r="D8" s="89" t="str">
        <x:v>Mở Codex từ đúng project folder.</x:v>
      </x:c>
      <x:c r="E8" s="89" t="str">
        <x:v>Nêu đường dẫn workbook + ZIP + manifest nguồn bổ sung.</x:v>
      </x:c>
      <x:c r="F8" s="89" t="str">
        <x:v>Codex đọc file trong working tree khi được chỉ đến.</x:v>
      </x:c>
      <x:c r="G8" s="89" t="str">
        <x:v>Phù hợp khi bắt đầu port thật.</x:v>
      </x:c>
      <x:c r="H8" s="89" t="str">
        <x:v>Giữ hướng dẫn bền trong AGENTS.md/tài liệu dự án khi có codebase.</x:v>
      </x:c>
    </x:row>
    <x:row r="11">
      <x:c r="A11" s="59" t="str">
        <x:v>8 BƯỚC MỖI KHI CÓ RELEASE MỚI</x:v>
      </x:c>
      <x:c r="B11" s="59" t="str">
        <x:v>8 BƯỚC MỖI KHI CÓ RELEASE MỚI</x:v>
      </x:c>
      <x:c r="C11" s="59" t="str">
        <x:v>8 BƯỚC MỖI KHI CÓ RELEASE MỚI</x:v>
      </x:c>
      <x:c r="D11" s="59" t="str">
        <x:v>8 BƯỚC MỖI KHI CÓ RELEASE MỚI</x:v>
      </x:c>
      <x:c r="E11" s="59" t="str">
        <x:v>8 BƯỚC MỖI KHI CÓ RELEASE MỚI</x:v>
      </x:c>
      <x:c r="F11" s="59" t="str">
        <x:v>8 BƯỚC MỖI KHI CÓ RELEASE MỚI</x:v>
      </x:c>
      <x:c r="G11" s="59" t="str">
        <x:v>8 BƯỚC MỖI KHI CÓ RELEASE MỚI</x:v>
      </x:c>
      <x:c r="H11" s="59" t="str">
        <x:v>8 BƯỚC MỖI KHI CÓ RELEASE MỚI</x:v>
      </x:c>
    </x:row>
    <x:row r="12">
      <x:c r="A12" s="18" t="str">
        <x:v>Bước</x:v>
      </x:c>
      <x:c r="B12" s="18" t="str">
        <x:v>Kích hoạt</x:v>
      </x:c>
      <x:c r="C12" s="18" t="str">
        <x:v>Thành làm</x:v>
      </x:c>
      <x:c r="D12" s="18" t="str">
        <x:v>AI làm</x:v>
      </x:c>
      <x:c r="E12" s="18" t="str">
        <x:v>Sheet chính</x:v>
      </x:c>
      <x:c r="F12" s="18" t="str">
        <x:v>Gate đạt</x:v>
      </x:c>
      <x:c r="G12" s="18" t="str">
        <x:v>Phải dừng khi</x:v>
      </x:c>
      <x:c r="H12" s="18" t="str">
        <x:v>Kết quả</x:v>
      </x:c>
    </x:row>
    <x:row r="13" ht="65" customHeight="1">
      <x:c r="A13" s="93" t="n">
        <x:v>1</x:v>
      </x:c>
      <x:c r="B13" s="89" t="str">
        <x:v>Có release/tài liệu mới</x:v>
      </x:c>
      <x:c r="C13" s="89" t="str">
        <x:v>Giữ ZIP và snapshot cũ; không ghi đè.</x:v>
      </x:c>
      <x:c r="D13" s="89" t="str">
        <x:v>Ghi version, URL, ngày, SHA-256 và loại nguồn.</x:v>
      </x:c>
      <x:c r="E13" s="89" t="str">
        <x:v>Lich_su_cap_nhat + Nguon_bo_sung</x:v>
      </x:c>
      <x:c r="F13" s="89" t="str">
        <x:v>Định danh đúng mọi artifact.</x:v>
      </x:c>
      <x:c r="G13" s="89" t="str">
        <x:v>Không rõ file/tag/hash/URL.</x:v>
      </x:c>
      <x:c r="H13" s="89" t="str">
        <x:v>Nguồn cập nhật đã khóa.</x:v>
      </x:c>
    </x:row>
    <x:row r="14" ht="65" customHeight="1">
      <x:c r="A14" s="93" t="n">
        <x:v>2</x:v>
      </x:c>
      <x:c r="B14" s="89" t="str">
        <x:v>Bắt đầu chat cập nhật</x:v>
      </x:c>
      <x:c r="C14" s="89" t="str">
        <x:v>Cung cấp workbook master + ZIP/URL + nguồn bổ sung mới.</x:v>
      </x:c>
      <x:c r="D14" s="89" t="str">
        <x:v>Đọc Huong_dan_AI, Nguon_bo_sung, Quy_trinh_cap_nhat và schema.</x:v>
      </x:c>
      <x:c r="E14" s="89" t="str">
        <x:v>Huong_dan_AI</x:v>
      </x:c>
      <x:c r="F14" s="89" t="str">
        <x:v>AI xác nhận đúng chế độ UPDATE_MAP.</x:v>
      </x:c>
      <x:c r="G14" s="89" t="str">
        <x:v>AI bắt đầu port code.</x:v>
      </x:c>
      <x:c r="H14" s="89" t="str">
        <x:v>Phạm vi chỉ là cập nhật bản đồ.</x:v>
      </x:c>
    </x:row>
    <x:row r="15" ht="65" customHeight="1">
      <x:c r="A15" s="93" t="n">
        <x:v>3</x:v>
      </x:c>
      <x:c r="B15" s="89" t="str">
        <x:v>Kiểm kê bản mới</x:v>
      </x:c>
      <x:c r="C15" s="89" t="str">
        <x:v>Chờ AI đọc toàn bộ archive.</x:v>
      </x:c>
      <x:c r="D15" s="89" t="str">
        <x:v>Liệt kê 100% file, size, CRC/hash, metadata; sau cùng đặt Inventory=DONE.</x:v>
      </x:c>
      <x:c r="E15" s="89" t="str">
        <x:v>So_sanh_ban_moi</x:v>
      </x:c>
      <x:c r="F15" s="89" t="str">
        <x:v>Số file kiểm kê = số file ZIP.</x:v>
      </x:c>
      <x:c r="G15" s="89" t="str">
        <x:v>Có file chưa đọc/không giải mã được.</x:v>
      </x:c>
      <x:c r="H15" s="89" t="str">
        <x:v>Inventory bản mới hoàn chỉnh.</x:v>
      </x:c>
    </x:row>
    <x:row r="16" ht="65" customHeight="1">
      <x:c r="A16" s="93" t="n">
        <x:v>4</x:v>
      </x:c>
      <x:c r="B16" s="89" t="str">
        <x:v>Ghép file</x:v>
      </x:c>
      <x:c r="C16" s="89" t="str">
        <x:v>Không cần quyết định kỹ thuật.</x:v>
      </x:c>
      <x:c r="D16" s="89" t="str">
        <x:v>Ghép theo path → CRC → nội dung/ý nghĩa; giữ ID bền cho rename.</x:v>
      </x:c>
      <x:c r="E16" s="89" t="str">
        <x:v>So_sanh_ban_moi</x:v>
      </x:c>
      <x:c r="F16" s="89" t="str">
        <x:v>Mỗi file cũ và mới được tính đúng một lần.</x:v>
      </x:c>
      <x:c r="G16" s="89" t="str">
        <x:v>Một file ghép vào nhiều dòng hoặc bị bỏ sót.</x:v>
      </x:c>
      <x:c r="H16" s="89" t="str">
        <x:v>Có diff Không đổi/Sửa/Thêm/Không còn/Rename.</x:v>
      </x:c>
    </x:row>
    <x:row r="17" ht="65" customHeight="1">
      <x:c r="A17" s="93" t="n">
        <x:v>5</x:v>
      </x:c>
      <x:c r="B17" s="89" t="str">
        <x:v>Phân tích thay đổi</x:v>
      </x:c>
      <x:c r="C17" s="89" t="str">
        <x:v>Trả lời nếu tác giả đổi mục tiêu sản phẩm.</x:v>
      </x:c>
      <x:c r="D17" s="89" t="str">
        <x:v>Đọc toàn văn file changed/new; cập nhật tác động, hành động, đích Codex, test, risk.</x:v>
      </x:c>
      <x:c r="E17" s="89" t="str">
        <x:v>Ban_do_152_file + So_sanh_ban_moi</x:v>
      </x:c>
      <x:c r="F17" s="89" t="str">
        <x:v>Không suy luận chỉ từ tên file.</x:v>
      </x:c>
      <x:c r="G17" s="89" t="str">
        <x:v>Chưa đọc diff nhưng đã kết luận.</x:v>
      </x:c>
      <x:c r="H17" s="89" t="str">
        <x:v>Bản đồ phản ánh release mới.</x:v>
      </x:c>
    </x:row>
    <x:row r="18" ht="65" customHeight="1">
      <x:c r="A18" s="93" t="n">
        <x:v>6</x:v>
      </x:c>
      <x:c r="B18" s="89" t="str">
        <x:v>Cập nhật tổng hợp</x:v>
      </x:c>
      <x:c r="C18" s="89" t="str">
        <x:v>Xem các thay đổi lớn.</x:v>
      </x:c>
      <x:c r="D18" s="89" t="str">
        <x:v>Cập nhật KPI, ma trận, roadmap, Nguon_bo_sung và lịch sử; giữ baseline riêng với nguồn sống.</x:v>
      </x:c>
      <x:c r="E18" s="89" t="str">
        <x:v>Tong_quan + Ma_tran + Nguon_bo_sung</x:v>
      </x:c>
      <x:c r="F18" s="89" t="str">
        <x:v>Tổng file và tổng nguồn đều khớp phạm vi riêng.</x:v>
      </x:c>
      <x:c r="G18" s="89" t="str">
        <x:v>Cộng nguồn bổ sung vào baseline hoặc lệch tổng.</x:v>
      </x:c>
      <x:c r="H18" s="89" t="str">
        <x:v>Workbook nhất quán.</x:v>
      </x:c>
    </x:row>
    <x:row r="19" ht="65" customHeight="1">
      <x:c r="A19" s="93" t="n">
        <x:v>7</x:v>
      </x:c>
      <x:c r="B19" s="89" t="str">
        <x:v>Kiểm tra</x:v>
      </x:c>
      <x:c r="C19" s="89" t="str">
        <x:v>Duyệt các file Removed/Changed/P0.</x:v>
      </x:c>
      <x:c r="D19" s="89" t="str">
        <x:v>Scan lỗi công thức, render mọi sheet, kiểm tra parity và phép cộng đối chiếu.</x:v>
      </x:c>
      <x:c r="E19" s="89" t="str">
        <x:v>Toàn workbook</x:v>
      </x:c>
      <x:c r="F19" s="89" t="str">
        <x:v>0 lỗi công thức; 100% coverage; nguồn có ngày.</x:v>
      </x:c>
      <x:c r="G19" s="89" t="str">
        <x:v>Không chứng minh đủ coverage.</x:v>
      </x:c>
      <x:c r="H19" s="89" t="str">
        <x:v>Bản cập nhật đạt gate.</x:v>
      </x:c>
    </x:row>
    <x:row r="20" ht="65" customHeight="1">
      <x:c r="A20" s="93" t="n">
        <x:v>8</x:v>
      </x:c>
      <x:c r="B20" s="89" t="str">
        <x:v>Bàn giao</x:v>
      </x:c>
      <x:c r="C20" s="89" t="str">
        <x:v>Giữ workbook mới làm master tiếp theo.</x:v>
      </x:c>
      <x:c r="D20" s="89" t="str">
        <x:v>Ghi một dòng lịch sử; xuất cùng tên hoặc version mới; không xóa version trước.</x:v>
      </x:c>
      <x:c r="E20" s="89" t="str">
        <x:v>Lich_su_cap_nhat</x:v>
      </x:c>
      <x:c r="F20" s="89" t="str">
        <x:v>Có thể quay lại baseline trước.</x:v>
      </x:c>
      <x:c r="G20" s="89" t="str">
        <x:v>Ghi đè mất lịch sử.</x:v>
      </x:c>
      <x:c r="H20" s="89" t="str">
        <x:v>Sẵn cho lần update/port sau.</x:v>
      </x:c>
    </x:row>
    <x:row r="23">
      <x:c r="A23" s="59" t="str">
        <x:v>CÔNG THỨC ĐỐI CHIẾU BẮT BUỘC</x:v>
      </x:c>
      <x:c r="B23" s="59" t="str">
        <x:v>CÔNG THỨC ĐỐI CHIẾU BẮT BUỘC</x:v>
      </x:c>
      <x:c r="C23" s="59" t="str">
        <x:v>CÔNG THỨC ĐỐI CHIẾU BẮT BUỘC</x:v>
      </x:c>
      <x:c r="D23" s="59" t="str">
        <x:v>CÔNG THỨC ĐỐI CHIẾU BẮT BUỘC</x:v>
      </x:c>
      <x:c r="E23" s="59" t="str">
        <x:v>CÔNG THỨC ĐỐI CHIẾU BẮT BUỘC</x:v>
      </x:c>
      <x:c r="F23" s="59" t="str">
        <x:v>CÔNG THỨC ĐỐI CHIẾU BẮT BUỘC</x:v>
      </x:c>
      <x:c r="G23" s="59" t="str">
        <x:v>CÔNG THỨC ĐỐI CHIẾU BẮT BUỘC</x:v>
      </x:c>
      <x:c r="H23" s="59" t="str">
        <x:v>CÔNG THỨC ĐỐI CHIẾU BẮT BUỘC</x:v>
      </x:c>
    </x:row>
    <x:row r="24" ht="38" customHeight="1">
      <x:c r="A24" s="114" t="str">
        <x:v>Baseline</x:v>
      </x:c>
      <x:c r="B24" s="72" t="str">
        <x:v>Không đổi + Sửa nội dung + Đổi tên/di chuyển + Không còn = tổng file baseline.</x:v>
      </x:c>
    </x:row>
    <x:row r="25" ht="38" customHeight="1">
      <x:c r="A25" s="114" t="str">
        <x:v>Bản mới</x:v>
      </x:c>
      <x:c r="B25" s="72" t="str">
        <x:v>Không đổi + Sửa nội dung + Đổi tên/di chuyển + Thêm mới = tổng file bản mới.</x:v>
      </x:c>
    </x:row>
    <x:row r="26" ht="38" customHeight="1">
      <x:c r="A26" s="114" t="str">
        <x:v>Lịch sử</x:v>
      </x:c>
      <x:c r="B26" s="72" t="str">
        <x:v>Dòng cũ không bị xóa; file không còn ở release mới vẫn giữ ID và nguồn baseline.</x:v>
      </x:c>
    </x:row>
    <x:row r="27" ht="38" customHeight="1">
      <x:c r="A27" s="114" t="str">
        <x:v>Nguồn bổ sung</x:v>
      </x:c>
      <x:c r="B27" s="72" t="str">
        <x:v>So sánh độc lập theo ID/URL/hash/ngày; không cộng vào tổng file release.</x:v>
      </x:c>
    </x:row>
  </x:sheetData>
  <x:mergeCells>
    <x:mergeCell ref="A1:H1"/>
    <x:mergeCell ref="A2:H2"/>
    <x:mergeCell ref="A4:H4"/>
    <x:mergeCell ref="A11:H11"/>
    <x:mergeCell ref="A23:H23"/>
  </x:mergeCells>
  <x:pageMargins left="0.7" right="0.7" top="0.75" bottom="0.75" header="0.3" footer="0.3"/>
  <x:tableParts count="1">
    <x:tablePart xmlns:r="http://schemas.openxmlformats.org/officeDocument/2006/relationships" r:id="Rb3544ba539184c49"/>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19" hidden="0" customWidth="1"/>
    <x:col min="2" max="2" width="30" hidden="0" customWidth="1"/>
    <x:col min="3" max="3" width="24" hidden="0" customWidth="1"/>
    <x:col min="4" max="4" width="52" hidden="0" customWidth="1"/>
    <x:col min="5" max="5" width="52" hidden="0" customWidth="1"/>
    <x:col min="6" max="6" width="15" hidden="0" customWidth="1"/>
    <x:col min="7" max="7" width="15" hidden="0" customWidth="1"/>
    <x:col min="8" max="8" width="23" hidden="0" customWidth="1"/>
    <x:col min="9" max="9" width="42" hidden="0" customWidth="1"/>
    <x:col min="10" max="10" width="54" hidden="0" customWidth="1"/>
    <x:col min="11" max="11" width="40" hidden="0" customWidth="1"/>
    <x:col min="12" max="12" width="50" hidden="0" customWidth="1"/>
    <x:col min="13" max="13" width="56" hidden="0" customWidth="1"/>
    <x:col min="14" max="14" width="24" hidden="0" customWidth="1"/>
    <x:col min="15" max="15" width="55" hidden="0" customWidth="1"/>
  </x:cols>
  <x:sheetData>
    <x:row r="1" ht="34" customHeight="1">
      <x:c r="A1" s="4" t="str">
        <x:v>SO SÁNH BẢN MỚI — BASELINE 8.4.6-C ĐÃ KHÓA 152 ID BỀN</x:v>
      </x:c>
      <x:c r="B1" s="4" t="str">
        <x:v>SO SÁNH BẢN MỚI — BASELINE 8.4.6-C ĐÃ KHÓA 152 ID BỀN</x:v>
      </x:c>
      <x:c r="C1" s="4" t="str">
        <x:v>SO SÁNH BẢN MỚI — BASELINE 8.4.6-C ĐÃ KHÓA 152 ID BỀN</x:v>
      </x:c>
      <x:c r="D1" s="4" t="str">
        <x:v>SO SÁNH BẢN MỚI — BASELINE 8.4.6-C ĐÃ KHÓA 152 ID BỀN</x:v>
      </x:c>
      <x:c r="E1" s="4" t="str">
        <x:v>SO SÁNH BẢN MỚI — BASELINE 8.4.6-C ĐÃ KHÓA 152 ID BỀN</x:v>
      </x:c>
      <x:c r="F1" s="4" t="str">
        <x:v>SO SÁNH BẢN MỚI — BASELINE 8.4.6-C ĐÃ KHÓA 152 ID BỀN</x:v>
      </x:c>
      <x:c r="G1" s="4" t="str">
        <x:v>SO SÁNH BẢN MỚI — BASELINE 8.4.6-C ĐÃ KHÓA 152 ID BỀN</x:v>
      </x:c>
      <x:c r="H1" s="4" t="str">
        <x:v>SO SÁNH BẢN MỚI — BASELINE 8.4.6-C ĐÃ KHÓA 152 ID BỀN</x:v>
      </x:c>
      <x:c r="I1" s="4" t="str">
        <x:v>SO SÁNH BẢN MỚI — BASELINE 8.4.6-C ĐÃ KHÓA 152 ID BỀN</x:v>
      </x:c>
      <x:c r="J1" s="4" t="str">
        <x:v>SO SÁNH BẢN MỚI — BASELINE 8.4.6-C ĐÃ KHÓA 152 ID BỀN</x:v>
      </x:c>
      <x:c r="K1" s="4" t="str">
        <x:v>SO SÁNH BẢN MỚI — BASELINE 8.4.6-C ĐÃ KHÓA 152 ID BỀN</x:v>
      </x:c>
      <x:c r="L1" s="4" t="str">
        <x:v>SO SÁNH BẢN MỚI — BASELINE 8.4.6-C ĐÃ KHÓA 152 ID BỀN</x:v>
      </x:c>
      <x:c r="M1" s="4" t="str">
        <x:v>SO SÁNH BẢN MỚI — BASELINE 8.4.6-C ĐÃ KHÓA 152 ID BỀN</x:v>
      </x:c>
      <x:c r="N1" s="4" t="str">
        <x:v>SO SÁNH BẢN MỚI — BASELINE 8.4.6-C ĐÃ KHÓA 152 ID BỀN</x:v>
      </x:c>
      <x:c r="O1" s="4" t="str">
        <x:v>SO SÁNH BẢN MỚI — BASELINE 8.4.6-C ĐÃ KHÓA 152 ID BỀN</x:v>
      </x:c>
    </x:row>
    <x:row r="2" ht="32" customHeight="1">
      <x:c r="A2" s="8" t="str">
        <x:v>AI điền cột E và G từ ZIP mới, phân tích cột I–O, rồi đổi ô N3 thành DONE sau khi đã kiểm kê đủ. File bị bỏ khỏi release mới vẫn được giữ ở đây.</x:v>
      </x:c>
      <x:c r="B2" s="8" t="str">
        <x:v>AI điền cột E và G từ ZIP mới, phân tích cột I–O, rồi đổi ô N3 thành DONE sau khi đã kiểm kê đủ. File bị bỏ khỏi release mới vẫn được giữ ở đây.</x:v>
      </x:c>
      <x:c r="C2" s="8" t="str">
        <x:v>AI điền cột E và G từ ZIP mới, phân tích cột I–O, rồi đổi ô N3 thành DONE sau khi đã kiểm kê đủ. File bị bỏ khỏi release mới vẫn được giữ ở đây.</x:v>
      </x:c>
      <x:c r="D2" s="8" t="str">
        <x:v>AI điền cột E và G từ ZIP mới, phân tích cột I–O, rồi đổi ô N3 thành DONE sau khi đã kiểm kê đủ. File bị bỏ khỏi release mới vẫn được giữ ở đây.</x:v>
      </x:c>
      <x:c r="E2" s="8" t="str">
        <x:v>AI điền cột E và G từ ZIP mới, phân tích cột I–O, rồi đổi ô N3 thành DONE sau khi đã kiểm kê đủ. File bị bỏ khỏi release mới vẫn được giữ ở đây.</x:v>
      </x:c>
      <x:c r="F2" s="8" t="str">
        <x:v>AI điền cột E và G từ ZIP mới, phân tích cột I–O, rồi đổi ô N3 thành DONE sau khi đã kiểm kê đủ. File bị bỏ khỏi release mới vẫn được giữ ở đây.</x:v>
      </x:c>
      <x:c r="G2" s="8" t="str">
        <x:v>AI điền cột E và G từ ZIP mới, phân tích cột I–O, rồi đổi ô N3 thành DONE sau khi đã kiểm kê đủ. File bị bỏ khỏi release mới vẫn được giữ ở đây.</x:v>
      </x:c>
      <x:c r="H2" s="8" t="str">
        <x:v>AI điền cột E và G từ ZIP mới, phân tích cột I–O, rồi đổi ô N3 thành DONE sau khi đã kiểm kê đủ. File bị bỏ khỏi release mới vẫn được giữ ở đây.</x:v>
      </x:c>
      <x:c r="I2" s="8" t="str">
        <x:v>AI điền cột E và G từ ZIP mới, phân tích cột I–O, rồi đổi ô N3 thành DONE sau khi đã kiểm kê đủ. File bị bỏ khỏi release mới vẫn được giữ ở đây.</x:v>
      </x:c>
      <x:c r="J2" s="8" t="str">
        <x:v>AI điền cột E và G từ ZIP mới, phân tích cột I–O, rồi đổi ô N3 thành DONE sau khi đã kiểm kê đủ. File bị bỏ khỏi release mới vẫn được giữ ở đây.</x:v>
      </x:c>
      <x:c r="K2" s="8" t="str">
        <x:v>AI điền cột E và G từ ZIP mới, phân tích cột I–O, rồi đổi ô N3 thành DONE sau khi đã kiểm kê đủ. File bị bỏ khỏi release mới vẫn được giữ ở đây.</x:v>
      </x:c>
      <x:c r="L2" s="8" t="str">
        <x:v>AI điền cột E và G từ ZIP mới, phân tích cột I–O, rồi đổi ô N3 thành DONE sau khi đã kiểm kê đủ. File bị bỏ khỏi release mới vẫn được giữ ở đây.</x:v>
      </x:c>
      <x:c r="M2" s="8" t="str">
        <x:v>AI điền cột E và G từ ZIP mới, phân tích cột I–O, rồi đổi ô N3 thành DONE sau khi đã kiểm kê đủ. File bị bỏ khỏi release mới vẫn được giữ ở đây.</x:v>
      </x:c>
      <x:c r="N2" s="8" t="str">
        <x:v>AI điền cột E và G từ ZIP mới, phân tích cột I–O, rồi đổi ô N3 thành DONE sau khi đã kiểm kê đủ. File bị bỏ khỏi release mới vẫn được giữ ở đây.</x:v>
      </x:c>
      <x:c r="O2" s="8" t="str">
        <x:v>AI điền cột E và G từ ZIP mới, phân tích cột I–O, rồi đổi ô N3 thành DONE sau khi đã kiểm kê đủ. File bị bỏ khỏi release mới vẫn được giữ ở đây.</x:v>
      </x:c>
    </x:row>
    <x:row r="3" ht="33" customHeight="1">
      <x:c r="A3" s="197" t="str">
        <x:v>Baseline</x:v>
      </x:c>
      <x:c r="B3" s="200" t="str">
        <x:v>8.4.6-C</x:v>
      </x:c>
      <x:c r="C3" s="197" t="str">
        <x:v>Bản mới</x:v>
      </x:c>
      <x:c r="D3" s="200"/>
      <x:c r="E3" s="197" t="str">
        <x:v>Release URL</x:v>
      </x:c>
      <x:c r="F3" s="200"/>
      <x:c r="G3" s="197" t="str">
        <x:v>ZIP SHA-256</x:v>
      </x:c>
      <x:c r="H3" s="200"/>
      <x:c r="I3" s="197" t="str">
        <x:v>Ngày so sánh</x:v>
      </x:c>
      <x:c r="J3" s="200"/>
      <x:c r="K3" s="197" t="str">
        <x:v>Schema</x:v>
      </x:c>
      <x:c r="L3" s="200" t="str">
        <x:v>P2P-CODEX-MAP/2.4</x:v>
      </x:c>
      <x:c r="M3" s="197" t="str">
        <x:v>Inventory</x:v>
      </x:c>
      <x:c r="N3" s="200" t="str">
        <x:v>PENDING</x:v>
      </x:c>
      <x:c r="O3" s="200" t="str">
        <x:v>Đổi N3 thành DONE sau khi quét đủ</x:v>
      </x:c>
    </x:row>
    <x:row r="4">
      <x:c r="A4" s="27" t="str">
        <x:v>FILE BASELINE</x:v>
      </x:c>
      <x:c r="B4" s="27" t="str">
        <x:v>FILE BASELINE</x:v>
      </x:c>
      <x:c r="C4" s="27" t="str">
        <x:v>FILE BẢN MỚI</x:v>
      </x:c>
      <x:c r="D4" s="27" t="str">
        <x:v>FILE BẢN MỚI</x:v>
      </x:c>
      <x:c r="E4" s="27" t="str">
        <x:v>KHÔNG ĐỔI</x:v>
      </x:c>
      <x:c r="F4" s="27" t="str">
        <x:v>KHÔNG ĐỔI</x:v>
      </x:c>
      <x:c r="G4" s="27" t="str">
        <x:v>SỬA NỘI DUNG</x:v>
      </x:c>
      <x:c r="H4" s="27" t="str">
        <x:v>SỬA NỘI DUNG</x:v>
      </x:c>
      <x:c r="I4" s="27" t="str">
        <x:v>THÊM MỚI</x:v>
      </x:c>
      <x:c r="J4" s="27" t="str">
        <x:v>THÊM MỚI</x:v>
      </x:c>
      <x:c r="K4" s="27" t="str">
        <x:v>KHÔNG CÒN</x:v>
      </x:c>
      <x:c r="L4" s="27" t="str">
        <x:v>KHÔNG CÒN</x:v>
      </x:c>
      <x:c r="M4" s="27" t="str">
        <x:v>ĐỔI TÊN/DI CHUYỂN</x:v>
      </x:c>
      <x:c r="N4" s="27" t="str">
        <x:v>ĐỔI TÊN/DI CHUYỂN</x:v>
      </x:c>
    </x:row>
    <x:row r="5">
      <x:c r="A5" s="42" t="n">
        <x:f>COUNTA('So_sanh_ban_moi'!$D$9:$D$500)</x:f>
        <x:v>152</x:v>
      </x:c>
      <x:c r="B5" s="43"/>
      <x:c r="C5" s="42" t="n">
        <x:f>COUNTA('So_sanh_ban_moi'!$E$9:$E$500)</x:f>
        <x:v>0</x:v>
      </x:c>
      <x:c r="D5" s="43"/>
      <x:c r="E5" s="42" t="n">
        <x:f>COUNTIF('So_sanh_ban_moi'!$H$9:$H$500,"Không đổi")</x:f>
        <x:v>0</x:v>
      </x:c>
      <x:c r="F5" s="43"/>
      <x:c r="G5" s="42" t="n">
        <x:f>COUNTIF('So_sanh_ban_moi'!$H$9:$H$500,"Sửa nội dung")</x:f>
        <x:v>0</x:v>
      </x:c>
      <x:c r="H5" s="43"/>
      <x:c r="I5" s="42" t="n">
        <x:f>COUNTIF('So_sanh_ban_moi'!$H$9:$H$500,"Thêm mới")</x:f>
        <x:v>0</x:v>
      </x:c>
      <x:c r="J5" s="43"/>
      <x:c r="K5" s="42" t="n">
        <x:f>COUNTIF('So_sanh_ban_moi'!$H$9:$H$500,"Không còn")</x:f>
        <x:v>0</x:v>
      </x:c>
      <x:c r="L5" s="43"/>
      <x:c r="M5" s="42" t="n">
        <x:f>COUNTIF('So_sanh_ban_moi'!$H$9:$H$500,"Đổi tên/di chuyển")</x:f>
        <x:v>0</x:v>
      </x:c>
      <x:c r="N5" s="43"/>
    </x:row>
    <x:row r="6">
      <x:c r="A6" s="44"/>
      <x:c r="B6" s="45"/>
      <x:c r="C6" s="44"/>
      <x:c r="D6" s="45"/>
      <x:c r="E6" s="44"/>
      <x:c r="F6" s="45"/>
      <x:c r="G6" s="44"/>
      <x:c r="H6" s="45"/>
      <x:c r="I6" s="44"/>
      <x:c r="J6" s="45"/>
      <x:c r="K6" s="44"/>
      <x:c r="L6" s="45"/>
      <x:c r="M6" s="44"/>
      <x:c r="N6" s="45"/>
    </x:row>
    <x:row r="8" ht="44" customHeight="1">
      <x:c r="A8" s="18" t="str">
        <x:v>ID bền</x:v>
      </x:c>
      <x:c r="B8" s="18" t="str">
        <x:v>Nhóm năng lực</x:v>
      </x:c>
      <x:c r="C8" s="18" t="str">
        <x:v>Mã logic</x:v>
      </x:c>
      <x:c r="D8" s="18" t="str">
        <x:v>Path baseline</x:v>
      </x:c>
      <x:c r="E8" s="18" t="str">
        <x:v>Path bản mới</x:v>
      </x:c>
      <x:c r="F8" s="18" t="str">
        <x:v>CRC baseline</x:v>
      </x:c>
      <x:c r="G8" s="18" t="str">
        <x:v>CRC bản mới</x:v>
      </x:c>
      <x:c r="H8" s="18" t="str">
        <x:v>Loại thay đổi</x:v>
      </x:c>
      <x:c r="I8" s="18" t="str">
        <x:v>Tác động chức năng</x:v>
      </x:c>
      <x:c r="J8" s="18" t="str">
        <x:v>Quyết định bảo tồn</x:v>
      </x:c>
      <x:c r="K8" s="18" t="str">
        <x:v>Hành động chuyển đổi</x:v>
      </x:c>
      <x:c r="L8" s="18" t="str">
        <x:v>Đích Codex</x:v>
      </x:c>
      <x:c r="M8" s="18" t="str">
        <x:v>Test hồi quy</x:v>
      </x:c>
      <x:c r="N8" s="18" t="str">
        <x:v>Trạng thái xử lý</x:v>
      </x:c>
      <x:c r="O8" s="18" t="str">
        <x:v>Ghi chú/rủi ro</x:v>
      </x:c>
    </x:row>
    <x:row r="9" ht="64" customHeight="1">
      <x:c r="A9" s="23" t="str">
        <x:v>P2P-FILE-0001</x:v>
      </x:c>
      <x:c r="B9" s="22" t="str">
        <x:v>Tài liệu &amp; truy vết</x:v>
      </x:c>
      <x:c r="C9" s="22" t="str">
        <x:v>architecture_map</x:v>
      </x:c>
      <x:c r="D9" s="22" t="str">
        <x:v>8.4.6-C/ARCHITECTURE_MAP.md</x:v>
      </x:c>
      <x:c r="E9" s="22"/>
      <x:c r="F9" s="23" t="str">
        <x:v>9F6D26A6</x:v>
      </x:c>
      <x:c r="G9" s="23"/>
      <x:c r="H9" s="23" t="str">
        <x:f>IF($N$3&lt;&gt;"DONE","Chờ bản mới",IF(AND(D9="",E9=""),"",IF(D9="","Thêm mới",IF(E9="","Không còn",IF(AND(D9&lt;&gt;E9,F9=G9),"Đổi tên/di chuyển",IF(F9=G9,"Không đổi","Sửa nội dung"))))))</x:f>
        <x:v>Chờ bản mới</x:v>
      </x:c>
      <x:c r="I9" s="22" t="str">
        <x:v>Chờ phân tích khi có bản mới</x:v>
      </x:c>
      <x:c r="J9" s="22" t="str">
        <x:v>Giữ nguyên byte trong source/8.4.6-C; bản Codex ghi đường dẫn nguồn và CRC.</x:v>
      </x:c>
      <x:c r="K9" s="22" t="str">
        <x:v>KEEP_SOURCE + ADAPT_DOCS</x:v>
      </x:c>
      <x:c r="L9" s="22" t="str">
        <x:v>docs/KIEN-TRUC.md</x:v>
      </x:c>
      <x:c r="M9" s="22" t="str">
        <x:v>CRC nguồn khớp ZIP; liên kết không hỏng; tiếng Nga/Việt/Anh hiển thị đúng; hướng dẫn Codex được người mới làm lại thành công.</x:v>
      </x:c>
      <x:c r="N9" s="22" t="str">
        <x:v>Chờ bản mới</x:v>
      </x:c>
      <x:c r="O9" s="22" t="str">
        <x:v>Không thấy rủi ro riêng ngoài yêu cầu parity và truy vết nguồn. Đích đề xuất ban đầu: docs/ARCHITECTURE_MAP.md. Đích thực tế trong gói: docs/KIEN-TRUC.md. Bằng chứng: SOURCE_HASH_VERIFIED; ADAPTED_TARGET_PRESENT.</x:v>
      </x:c>
    </x:row>
    <x:row r="10" ht="64" customHeight="1">
      <x:c r="A10" s="23" t="str">
        <x:v>P2P-FILE-0002</x:v>
      </x:c>
      <x:c r="B10" s="22" t="str">
        <x:v>Tài liệu &amp; truy vết</x:v>
      </x:c>
      <x:c r="C10" s="22" t="str">
        <x:v>changelog</x:v>
      </x:c>
      <x:c r="D10" s="22" t="str">
        <x:v>8.4.6-C/CHANGELOG.md</x:v>
      </x:c>
      <x:c r="E10" s="22"/>
      <x:c r="F10" s="23" t="str">
        <x:v>57E3226E</x:v>
      </x:c>
      <x:c r="G10" s="23"/>
      <x:c r="H10" s="23" t="str">
        <x:f>IF($N$3&lt;&gt;"DONE","Chờ bản mới",IF(AND(D10="",E10=""),"",IF(D10="","Thêm mới",IF(E10="","Không còn",IF(AND(D10&lt;&gt;E10,F10=G10),"Đổi tên/di chuyển",IF(F10=G10,"Không đổi","Sửa nội dung"))))))</x:f>
        <x:v>Chờ bản mới</x:v>
      </x:c>
      <x:c r="I10" s="22" t="str">
        <x:v>Chờ phân tích khi có bản mới</x:v>
      </x:c>
      <x:c r="J10" s="22" t="str">
        <x:v>Giữ nguyên byte trong source/8.4.6-C; bản Codex ghi đường dẫn nguồn và CRC.</x:v>
      </x:c>
      <x:c r="K10" s="22" t="str">
        <x:v>KEEP_SOURCE + ADAPT_DOCS</x:v>
      </x:c>
      <x:c r="L10" s="22" t="str">
        <x:v>source/8.4.6-C/CHANGELOG.md</x:v>
      </x:c>
      <x:c r="M10" s="22" t="str">
        <x:v>CRC nguồn khớp ZIP; liên kết không hỏng; tiếng Nga/Việt/Anh hiển thị đúng; hướng dẫn Codex được người mới làm lại thành công.</x:v>
      </x:c>
      <x:c r="N10" s="22" t="str">
        <x:v>Chờ bản mới</x:v>
      </x:c>
      <x:c r="O10" s="22" t="str">
        <x:v>Không thấy rủi ro riêng ngoài yêu cầu parity và truy vết nguồn. Không tạo runtime riêng; toàn văn vẫn còn trong source snapshot và manifest truy vết. Bằng chứng: SOURCE_HASH_VERIFIED; NO_SEPARATE_RUNTIME_TARGET.</x:v>
      </x:c>
    </x:row>
    <x:row r="11" ht="64" customHeight="1">
      <x:c r="A11" s="23" t="str">
        <x:v>P2P-FILE-0003</x:v>
      </x:c>
      <x:c r="B11" s="22" t="str">
        <x:v>Tài liệu &amp; truy vết</x:v>
      </x:c>
      <x:c r="C11" s="22" t="str">
        <x:v>readme_en</x:v>
      </x:c>
      <x:c r="D11" s="22" t="str">
        <x:v>8.4.6-C/README.en.md</x:v>
      </x:c>
      <x:c r="E11" s="22"/>
      <x:c r="F11" s="23" t="str">
        <x:v>ECF9A220</x:v>
      </x:c>
      <x:c r="G11" s="23"/>
      <x:c r="H11" s="23" t="str">
        <x:f>IF($N$3&lt;&gt;"DONE","Chờ bản mới",IF(AND(D11="",E11=""),"",IF(D11="","Thêm mới",IF(E11="","Không còn",IF(AND(D11&lt;&gt;E11,F11=G11),"Đổi tên/di chuyển",IF(F11=G11,"Không đổi","Sửa nội dung"))))))</x:f>
        <x:v>Chờ bản mới</x:v>
      </x:c>
      <x:c r="I11" s="22" t="str">
        <x:v>Chờ phân tích khi có bản mới</x:v>
      </x:c>
      <x:c r="J11" s="22" t="str">
        <x:v>Giữ nguyên byte trong source/8.4.6-C; bản Codex ghi đường dẫn nguồn và CRC.</x:v>
      </x:c>
      <x:c r="K11" s="22" t="str">
        <x:v>KEEP_SOURCE + ADAPT_DOCS</x:v>
      </x:c>
      <x:c r="L11" s="22" t="str">
        <x:v>docs/SU-DUNG.md</x:v>
      </x:c>
      <x:c r="M11" s="22" t="str">
        <x:v>CRC nguồn khớp ZIP; liên kết không hỏng; tiếng Nga/Việt/Anh hiển thị đúng; hướng dẫn Codex được người mới làm lại thành công.</x:v>
      </x:c>
      <x:c r="N11" s="22" t="str">
        <x:v>Chờ bản mới</x:v>
      </x:c>
      <x:c r="O11" s="22" t="str">
        <x:v>Không thấy rủi ro riêng ngoài yêu cầu parity và truy vết nguồn. Đích đề xuất ban đầu: docs/README.en.md. Đích thực tế trong gói: docs/SU-DUNG.md. Bằng chứng: SOURCE_HASH_VERIFIED; ADAPTED_TARGET_PRESENT.</x:v>
      </x:c>
    </x:row>
    <x:row r="12" ht="64" customHeight="1">
      <x:c r="A12" s="23" t="str">
        <x:v>P2P-FILE-0004</x:v>
      </x:c>
      <x:c r="B12" s="22" t="str">
        <x:v>Tài liệu &amp; truy vết</x:v>
      </x:c>
      <x:c r="C12" s="22" t="str">
        <x:v>readme_ru</x:v>
      </x:c>
      <x:c r="D12" s="22" t="str">
        <x:v>8.4.6-C/README.md</x:v>
      </x:c>
      <x:c r="E12" s="22"/>
      <x:c r="F12" s="23" t="str">
        <x:v>64A63756</x:v>
      </x:c>
      <x:c r="G12" s="23"/>
      <x:c r="H12" s="23" t="str">
        <x:f>IF($N$3&lt;&gt;"DONE","Chờ bản mới",IF(AND(D12="",E12=""),"",IF(D12="","Thêm mới",IF(E12="","Không còn",IF(AND(D12&lt;&gt;E12,F12=G12),"Đổi tên/di chuyển",IF(F12=G12,"Không đổi","Sửa nội dung"))))))</x:f>
        <x:v>Chờ bản mới</x:v>
      </x:c>
      <x:c r="I12" s="22" t="str">
        <x:v>Chờ phân tích khi có bản mới</x:v>
      </x:c>
      <x:c r="J12" s="22" t="str">
        <x:v>Giữ nguyên byte trong source/8.4.6-C; bản Codex ghi đường dẫn nguồn và CRC.</x:v>
      </x:c>
      <x:c r="K12" s="22" t="str">
        <x:v>KEEP_SOURCE + ADAPT_DOCS</x:v>
      </x:c>
      <x:c r="L12" s="22" t="str">
        <x:v>BAT-DAU.md</x:v>
      </x:c>
      <x:c r="M12" s="22" t="str">
        <x:v>CRC nguồn khớp ZIP; liên kết không hỏng; tiếng Nga/Việt/Anh hiển thị đúng; hướng dẫn Codex được người mới làm lại thành công.</x:v>
      </x:c>
      <x:c r="N12" s="22" t="str">
        <x:v>Chờ bản mới</x:v>
      </x:c>
      <x:c r="O12" s="22" t="str">
        <x:v>Không thấy rủi ro riêng ngoài yêu cầu parity và truy vết nguồn. Đích đề xuất ban đầu: docs/README.md. Đích thực tế trong gói: BAT-DAU.md. Bằng chứng: SOURCE_HASH_VERIFIED; ADAPTED_TARGET_PRESENT.</x:v>
      </x:c>
    </x:row>
    <x:row r="13" ht="64" customHeight="1">
      <x:c r="A13" s="23" t="str">
        <x:v>P2P-FILE-0005</x:v>
      </x:c>
      <x:c r="B13" s="22" t="str">
        <x:v>Tài liệu &amp; truy vết</x:v>
      </x:c>
      <x:c r="C13" s="22" t="str">
        <x:v>agents_guide</x:v>
      </x:c>
      <x:c r="D13" s="22" t="str">
        <x:v>8.4.6-C/docs/AGENTS_GUIDE.md</x:v>
      </x:c>
      <x:c r="E13" s="22"/>
      <x:c r="F13" s="23" t="str">
        <x:v>149B0B6D</x:v>
      </x:c>
      <x:c r="G13" s="23"/>
      <x:c r="H13" s="23" t="str">
        <x:f>IF($N$3&lt;&gt;"DONE","Chờ bản mới",IF(AND(D13="",E13=""),"",IF(D13="","Thêm mới",IF(E13="","Không còn",IF(AND(D13&lt;&gt;E13,F13=G13),"Đổi tên/di chuyển",IF(F13=G13,"Không đổi","Sửa nội dung"))))))</x:f>
        <x:v>Chờ bản mới</x:v>
      </x:c>
      <x:c r="I13" s="22" t="str">
        <x:v>Chờ phân tích khi có bản mới</x:v>
      </x:c>
      <x:c r="J13" s="22" t="str">
        <x:v>Giữ nguyên byte trong source/8.4.6-C; bản Codex ghi đường dẫn nguồn và CRC.</x:v>
      </x:c>
      <x:c r="K13" s="22" t="str">
        <x:v>KEEP_SOURCE + ADAPT_DOCS</x:v>
      </x:c>
      <x:c r="L13" s="22" t="str">
        <x:v>docs/KIEN-TRUC.md</x:v>
      </x:c>
      <x:c r="M13" s="22" t="str">
        <x:v>CRC nguồn khớp ZIP; liên kết không hỏng; tiếng Nga/Việt/Anh hiển thị đúng; hướng dẫn Codex được người mới làm lại thành công.</x:v>
      </x:c>
      <x:c r="N13" s="22" t="str">
        <x:v>Chờ bản mới</x:v>
      </x:c>
      <x:c r="O13" s="22" t="str">
        <x:v>Không thấy rủi ro riêng ngoài yêu cầu parity và truy vết nguồn. Đích đề xuất ban đầu: docs/AGENTS_GUIDE.md. Đích thực tế trong gói: docs/KIEN-TRUC.md. Bằng chứng: SOURCE_HASH_VERIFIED; ADAPTED_TARGET_PRESENT.</x:v>
      </x:c>
    </x:row>
    <x:row r="14" ht="64" customHeight="1">
      <x:c r="A14" s="23" t="str">
        <x:v>P2P-FILE-0006</x:v>
      </x:c>
      <x:c r="B14" s="22" t="str">
        <x:v>Tài liệu &amp; truy vết</x:v>
      </x:c>
      <x:c r="C14" s="22" t="str">
        <x:v>credits</x:v>
      </x:c>
      <x:c r="D14" s="22" t="str">
        <x:v>8.4.6-C/docs/CREDITS_TECHNIQUES.md</x:v>
      </x:c>
      <x:c r="E14" s="22"/>
      <x:c r="F14" s="23" t="str">
        <x:v>BA80EB3C</x:v>
      </x:c>
      <x:c r="G14" s="23"/>
      <x:c r="H14" s="23" t="str">
        <x:f>IF($N$3&lt;&gt;"DONE","Chờ bản mới",IF(AND(D14="",E14=""),"",IF(D14="","Thêm mới",IF(E14="","Không còn",IF(AND(D14&lt;&gt;E14,F14=G14),"Đổi tên/di chuyển",IF(F14=G14,"Không đổi","Sửa nội dung"))))))</x:f>
        <x:v>Chờ bản mới</x:v>
      </x:c>
      <x:c r="I14" s="22" t="str">
        <x:v>Chờ phân tích khi có bản mới</x:v>
      </x:c>
      <x:c r="J14" s="22" t="str">
        <x:v>Giữ cả các file gốc trong source snapshot; runtime chỉ kích hoạt một bản canonical để tránh nạp kép.</x:v>
      </x:c>
      <x:c r="K14" s="22" t="str">
        <x:v>KEEP_SOURCE + ADAPT_DOCS</x:v>
      </x:c>
      <x:c r="L14" s="22" t="str">
        <x:v>NOTICE.md</x:v>
      </x:c>
      <x:c r="M14" s="22" t="str">
        <x:v>CRC nguồn khớp ZIP; liên kết không hỏng; tiếng Nga/Việt/Anh hiển thị đúng; hướng dẫn Codex được người mới làm lại thành công.</x:v>
      </x:c>
      <x:c r="N14" s="22" t="str">
        <x:v>Chờ bản mới</x:v>
      </x:c>
      <x:c r="O14" s="22" t="str">
        <x:v>Không thấy rủi ro riêng ngoài yêu cầu parity và truy vết nguồn. Đích đề xuất ban đầu: docs/CREDITS_TECHNIQUES.md. Đích thực tế trong gói: NOTICE.md. Bằng chứng: SOURCE_HASH_VERIFIED; ADAPTED_TARGET_PRESENT.</x:v>
      </x:c>
    </x:row>
    <x:row r="15" ht="64" customHeight="1">
      <x:c r="A15" s="23" t="str">
        <x:v>P2P-FILE-0007</x:v>
      </x:c>
      <x:c r="B15" s="22" t="str">
        <x:v>Tài liệu &amp; truy vết</x:v>
      </x:c>
      <x:c r="C15" s="22" t="str">
        <x:v>faq</x:v>
      </x:c>
      <x:c r="D15" s="22" t="str">
        <x:v>8.4.6-C/docs/FAQ_И_ОШИБКИ.md</x:v>
      </x:c>
      <x:c r="E15" s="22"/>
      <x:c r="F15" s="23" t="str">
        <x:v>C0C22A90</x:v>
      </x:c>
      <x:c r="G15" s="23"/>
      <x:c r="H15" s="23" t="str">
        <x:f>IF($N$3&lt;&gt;"DONE","Chờ bản mới",IF(AND(D15="",E15=""),"",IF(D15="","Thêm mới",IF(E15="","Không còn",IF(AND(D15&lt;&gt;E15,F15=G15),"Đổi tên/di chuyển",IF(F15=G15,"Không đổi","Sửa nội dung"))))))</x:f>
        <x:v>Chờ bản mới</x:v>
      </x:c>
      <x:c r="I15" s="22" t="str">
        <x:v>Chờ phân tích khi có bản mới</x:v>
      </x:c>
      <x:c r="J15" s="22" t="str">
        <x:v>Giữ nguyên byte trong source/8.4.6-C; bản Codex ghi đường dẫn nguồn và CRC.</x:v>
      </x:c>
      <x:c r="K15" s="22" t="str">
        <x:v>KEEP_SOURCE + ADAPT_DOCS</x:v>
      </x:c>
      <x:c r="L15" s="22" t="str">
        <x:v>BAT-DAU.md</x:v>
      </x:c>
      <x:c r="M15" s="22" t="str">
        <x:v>CRC nguồn khớp ZIP; liên kết không hỏng; tiếng Nga/Việt/Anh hiển thị đúng; hướng dẫn Codex được người mới làm lại thành công.</x:v>
      </x:c>
      <x:c r="N15" s="22" t="str">
        <x:v>Chờ bản mới</x:v>
      </x:c>
      <x:c r="O15" s="22" t="str">
        <x:v>Không thấy rủi ro riêng ngoài yêu cầu parity và truy vết nguồn. Đích đề xuất ban đầu: docs/FAQ-I-LOI.md. Đích thực tế trong gói: BAT-DAU.md. Bằng chứng: SOURCE_HASH_VERIFIED; ADAPTED_TARGET_PRESENT.</x:v>
      </x:c>
    </x:row>
    <x:row r="16" ht="64" customHeight="1">
      <x:c r="A16" s="23" t="str">
        <x:v>P2P-FILE-0008</x:v>
      </x:c>
      <x:c r="B16" s="22" t="str">
        <x:v>Tài liệu &amp; truy vết</x:v>
      </x:c>
      <x:c r="C16" s="22" t="str">
        <x:v>install_guide</x:v>
      </x:c>
      <x:c r="D16" s="22" t="str">
        <x:v>8.4.6-C/docs/INSTALL_GUIDE.md</x:v>
      </x:c>
      <x:c r="E16" s="22"/>
      <x:c r="F16" s="23" t="str">
        <x:v>E1F1A1A7</x:v>
      </x:c>
      <x:c r="G16" s="23"/>
      <x:c r="H16" s="23" t="str">
        <x:f>IF($N$3&lt;&gt;"DONE","Chờ bản mới",IF(AND(D16="",E16=""),"",IF(D16="","Thêm mới",IF(E16="","Không còn",IF(AND(D16&lt;&gt;E16,F16=G16),"Đổi tên/di chuyển",IF(F16=G16,"Không đổi","Sửa nội dung"))))))</x:f>
        <x:v>Chờ bản mới</x:v>
      </x:c>
      <x:c r="I16" s="22" t="str">
        <x:v>Chờ phân tích khi có bản mới</x:v>
      </x:c>
      <x:c r="J16" s="22" t="str">
        <x:v>Giữ nguyên byte trong source/8.4.6-C; bản Codex ghi đường dẫn nguồn và CRC.</x:v>
      </x:c>
      <x:c r="K16" s="22" t="str">
        <x:v>KEEP_SOURCE + ADAPT_DOCS</x:v>
      </x:c>
      <x:c r="L16" s="22" t="str">
        <x:v>BAT-DAU.md</x:v>
      </x:c>
      <x:c r="M16" s="22" t="str">
        <x:v>CRC nguồn khớp ZIP; liên kết không hỏng; tiếng Nga/Việt/Anh hiển thị đúng; hướng dẫn Codex được người mới làm lại thành công.</x:v>
      </x:c>
      <x:c r="N16" s="22" t="str">
        <x:v>Chờ bản mới</x:v>
      </x:c>
      <x:c r="O16" s="22" t="str">
        <x:v>Không thấy rủi ro riêng ngoài yêu cầu parity và truy vết nguồn. Đích đề xuất ban đầu: docs/INSTALL_GUIDE.md. Đích thực tế trong gói: BAT-DAU.md. Bằng chứng: SOURCE_HASH_VERIFIED; ADAPTED_TARGET_PRESENT.</x:v>
      </x:c>
    </x:row>
    <x:row r="17" ht="64" customHeight="1">
      <x:c r="A17" s="23" t="str">
        <x:v>P2P-FILE-0009</x:v>
      </x:c>
      <x:c r="B17" s="22" t="str">
        <x:v>Nén ngữ cảnh &amp; PXPIPE</x:v>
      </x:c>
      <x:c r="C17" s="22" t="str">
        <x:v>pxpipe_guide</x:v>
      </x:c>
      <x:c r="D17" s="22" t="str">
        <x:v>8.4.6-C/docs/PXPIPE_GUIDE.md</x:v>
      </x:c>
      <x:c r="E17" s="22"/>
      <x:c r="F17" s="23" t="str">
        <x:v>4B2DB6DC</x:v>
      </x:c>
      <x:c r="G17" s="23"/>
      <x:c r="H17" s="23" t="str">
        <x:f>IF($N$3&lt;&gt;"DONE","Chờ bản mới",IF(AND(D17="",E17=""),"",IF(D17="","Thêm mới",IF(E17="","Không còn",IF(AND(D17&lt;&gt;E17,F17=G17),"Đổi tên/di chuyển",IF(F17=G17,"Không đổi","Sửa nội dung"))))))</x:f>
        <x:v>Chờ bản mới</x:v>
      </x:c>
      <x:c r="I17" s="22" t="str">
        <x:v>Chờ phân tích khi có bản mới</x:v>
      </x:c>
      <x:c r="J17" s="22" t="str">
        <x:v>Giữ nguyên byte trong source/8.4.6-C; bản Codex ghi đường dẫn nguồn và CRC.</x:v>
      </x:c>
      <x:c r="K17" s="22" t="str">
        <x:v>KEEP_SOURCE + ADAPT_DOCS</x:v>
      </x:c>
      <x:c r="L17" s="22" t="str">
        <x:v>.agents/skills/pxpipe/VERIFICATION.md</x:v>
      </x:c>
      <x:c r="M17" s="22" t="str">
        <x:v>CRC nguồn khớp ZIP; liên kết không hỏng; tiếng Nga/Việt/Anh hiển thị đúng; hướng dẫn Codex được người mới làm lại thành công.</x:v>
      </x:c>
      <x:c r="N17" s="22" t="str">
        <x:v>Chờ bản mới</x:v>
      </x:c>
      <x:c r="O17" s="22" t="str">
        <x:v>Không thấy rủi ro riêng ngoài yêu cầu parity và truy vết nguồn. Đích đề xuất ban đầu: docs/PXPIPE_GUIDE.md. Đích thực tế trong gói: .agents/skills/pxpipe/VERIFICATION.md. Bằng chứng: TARGET_PRESENT; SKILL_VALIDATOR_PASS.</x:v>
      </x:c>
    </x:row>
    <x:row r="18" ht="64" customHeight="1">
      <x:c r="A18" s="23" t="str">
        <x:v>P2P-FILE-0010</x:v>
      </x:c>
      <x:c r="B18" s="22" t="str">
        <x:v>Tài liệu &amp; truy vết</x:v>
      </x:c>
      <x:c r="C18" s="22" t="str">
        <x:v>docs_index</x:v>
      </x:c>
      <x:c r="D18" s="22" t="str">
        <x:v>8.4.6-C/docs/README.md</x:v>
      </x:c>
      <x:c r="E18" s="22"/>
      <x:c r="F18" s="23" t="str">
        <x:v>DBB330B9</x:v>
      </x:c>
      <x:c r="G18" s="23"/>
      <x:c r="H18" s="23" t="str">
        <x:f>IF($N$3&lt;&gt;"DONE","Chờ bản mới",IF(AND(D18="",E18=""),"",IF(D18="","Thêm mới",IF(E18="","Không còn",IF(AND(D18&lt;&gt;E18,F18=G18),"Đổi tên/di chuyển",IF(F18=G18,"Không đổi","Sửa nội dung"))))))</x:f>
        <x:v>Chờ bản mới</x:v>
      </x:c>
      <x:c r="I18" s="22" t="str">
        <x:v>Chờ phân tích khi có bản mới</x:v>
      </x:c>
      <x:c r="J18" s="22" t="str">
        <x:v>Giữ nguyên byte trong source/8.4.6-C; bản Codex ghi đường dẫn nguồn và CRC.</x:v>
      </x:c>
      <x:c r="K18" s="22" t="str">
        <x:v>KEEP_SOURCE + ADAPT_DOCS</x:v>
      </x:c>
      <x:c r="L18" s="22" t="str">
        <x:v>BAT-DAU.md</x:v>
      </x:c>
      <x:c r="M18" s="22" t="str">
        <x:v>CRC nguồn khớp ZIP; liên kết không hỏng; tiếng Nga/Việt/Anh hiển thị đúng; hướng dẫn Codex được người mới làm lại thành công.</x:v>
      </x:c>
      <x:c r="N18" s="22" t="str">
        <x:v>Chờ bản mới</x:v>
      </x:c>
      <x:c r="O18" s="22" t="str">
        <x:v>Không thấy rủi ro riêng ngoài yêu cầu parity và truy vết nguồn. Đích đề xuất ban đầu: docs/README.md. Đích thực tế trong gói: BAT-DAU.md. Bằng chứng: SOURCE_HASH_VERIFIED; ADAPTED_TARGET_PRESENT.</x:v>
      </x:c>
    </x:row>
    <x:row r="19" ht="64" customHeight="1">
      <x:c r="A19" s="23" t="str">
        <x:v>P2P-FILE-0011</x:v>
      </x:c>
      <x:c r="B19" s="22" t="str">
        <x:v>Lõi &amp; điều phối</x:v>
      </x:c>
      <x:c r="C19" s="22" t="str">
        <x:v>core</x:v>
      </x:c>
      <x:c r="D19" s="22" t="str">
        <x:v>8.4.6-C/for-chat/!!core_v8C.md</x:v>
      </x:c>
      <x:c r="E19" s="22"/>
      <x:c r="F19" s="23" t="str">
        <x:v>4A83773A</x:v>
      </x:c>
      <x:c r="G19" s="23"/>
      <x:c r="H19" s="23" t="str">
        <x:f>IF($N$3&lt;&gt;"DONE","Chờ bản mới",IF(AND(D19="",E19=""),"",IF(D19="","Thêm mới",IF(E19="","Không còn",IF(AND(D19&lt;&gt;E19,F19=G19),"Đổi tên/di chuyển",IF(F19=G19,"Không đổi","Sửa nội dung"))))))</x:f>
        <x:v>Chờ bản mới</x:v>
      </x:c>
      <x:c r="I19" s="22" t="str">
        <x:v>Chờ phân tích khi có bản mới</x:v>
      </x:c>
      <x:c r="J19" s="22" t="str">
        <x:v>Giữ cả các file gốc trong source snapshot; runtime chỉ kích hoạt một bản canonical để tránh nạp kép.</x:v>
      </x:c>
      <x:c r="K19" s="22" t="str">
        <x:v>KEEP_SOURCE + DEDUP_RUNTIME</x:v>
      </x:c>
      <x:c r="L19" s="22" t="str">
        <x:v>.agents/skills/p2p/references/legacy/core.md</x:v>
      </x:c>
      <x:c r="M19" s="22" t="str">
        <x:v>CRC nguồn khớp ZIP; chứng minh bản Codex canonical bao phủ cùng hành vi; không nạp kép.</x:v>
      </x:c>
      <x:c r="N19" s="22" t="str">
        <x:v>Chờ bản mới</x:v>
      </x:c>
      <x:c r="O19"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skills/p2p/references/core.md. Đích thực tế trong gói: .agents/skills/p2p/references/legacy/core.md. Bằng chứng: SOURCE_HASH_VERIFIED; TARGET_PRESENT; ON_DEMAND_LOAD.</x:v>
      </x:c>
    </x:row>
    <x:row r="20" ht="64" customHeight="1">
      <x:c r="A20" s="23" t="str">
        <x:v>P2P-FILE-0012</x:v>
      </x:c>
      <x:c r="B20" s="22" t="str">
        <x:v>Prompt engineering &amp; QC</x:v>
      </x:c>
      <x:c r="C20" s="22" t="str">
        <x:v>db</x:v>
      </x:c>
      <x:c r="D20" s="22" t="str">
        <x:v>8.4.6-C/for-chat/!!db_v8C.md</x:v>
      </x:c>
      <x:c r="E20" s="22"/>
      <x:c r="F20" s="23" t="str">
        <x:v>3A1DE659</x:v>
      </x:c>
      <x:c r="G20" s="23"/>
      <x:c r="H20" s="23" t="str">
        <x:f>IF($N$3&lt;&gt;"DONE","Chờ bản mới",IF(AND(D20="",E20=""),"",IF(D20="","Thêm mới",IF(E20="","Không còn",IF(AND(D20&lt;&gt;E20,F20=G20),"Đổi tên/di chuyển",IF(F20=G20,"Không đổi","Sửa nội dung"))))))</x:f>
        <x:v>Chờ bản mới</x:v>
      </x:c>
      <x:c r="I20" s="22" t="str">
        <x:v>Chờ phân tích khi có bản mới</x:v>
      </x:c>
      <x:c r="J20" s="22" t="str">
        <x:v>Giữ cả các file gốc trong source snapshot; runtime chỉ kích hoạt một bản canonical để tránh nạp kép.</x:v>
      </x:c>
      <x:c r="K20" s="22" t="str">
        <x:v>KEEP_SOURCE + DEDUP_RUNTIME</x:v>
      </x:c>
      <x:c r="L20" s="22" t="str">
        <x:v>.agents/skills/p2p/references/legacy/db.md</x:v>
      </x:c>
      <x:c r="M20" s="22" t="str">
        <x:v>CRC nguồn khớp ZIP; chứng minh bản Codex canonical bao phủ cùng hành vi; không nạp kép.</x:v>
      </x:c>
      <x:c r="N20" s="22" t="str">
        <x:v>Chờ bản mới</x:v>
      </x:c>
      <x:c r="O20"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skills/p2p/references/db.md. Đích thực tế trong gói: .agents/skills/p2p/references/legacy/db.md. Bằng chứng: SOURCE_HASH_VERIFIED; TARGET_PRESENT; ON_DEMAND_LOAD.</x:v>
      </x:c>
    </x:row>
    <x:row r="21" ht="64" customHeight="1">
      <x:c r="A21" s="23" t="str">
        <x:v>P2P-FILE-0013</x:v>
      </x:c>
      <x:c r="B21" s="22" t="str">
        <x:v>QUORUM &amp; đa agent</x:v>
      </x:c>
      <x:c r="C21" s="22" t="str">
        <x:v>agents</x:v>
      </x:c>
      <x:c r="D21" s="22" t="str">
        <x:v>8.4.6-C/for-chat/!agents.md</x:v>
      </x:c>
      <x:c r="E21" s="22"/>
      <x:c r="F21" s="23" t="str">
        <x:v>3B2B2E33</x:v>
      </x:c>
      <x:c r="G21" s="23"/>
      <x:c r="H21" s="23" t="str">
        <x:f>IF($N$3&lt;&gt;"DONE","Chờ bản mới",IF(AND(D21="",E21=""),"",IF(D21="","Thêm mới",IF(E21="","Không còn",IF(AND(D21&lt;&gt;E21,F21=G21),"Đổi tên/di chuyển",IF(F21=G21,"Không đổi","Sửa nội dung"))))))</x:f>
        <x:v>Chờ bản mới</x:v>
      </x:c>
      <x:c r="I21" s="22" t="str">
        <x:v>Chờ phân tích khi có bản mới</x:v>
      </x:c>
      <x:c r="J21" s="22" t="str">
        <x:v>Giữ cả các file gốc trong source snapshot; runtime chỉ kích hoạt một bản canonical để tránh nạp kép.</x:v>
      </x:c>
      <x:c r="K21" s="22" t="str">
        <x:v>KEEP_SOURCE + DEDUP_RUNTIME</x:v>
      </x:c>
      <x:c r="L21" s="22" t="str">
        <x:v>.agents/skills/p2p/references/legacy/agents.md</x:v>
      </x:c>
      <x:c r="M21" s="22" t="str">
        <x:v>CRC nguồn khớp ZIP; chứng minh bản Codex canonical bao phủ cùng hành vi; không nạp kép.</x:v>
      </x:c>
      <x:c r="N21" s="22" t="str">
        <x:v>Chờ bản mới</x:v>
      </x:c>
      <x:c r="O21" s="22" t="str">
        <x:v>Đây là hình thức phân phối Claude Chat; giữ đủ nhưng không kích hoạt song song với nguồn plugin. Đích đề xuất ban đầu: skills/p2p/references/agents.md. Đích thực tế trong gói: .agents/skills/p2p/references/legacy/agents.md. Bằng chứng: SOURCE_HASH_VERIFIED; TARGET_PRESENT; ON_DEMAND_LOAD.</x:v>
      </x:c>
    </x:row>
    <x:row r="22" ht="64" customHeight="1">
      <x:c r="A22" s="23" t="str">
        <x:v>P2P-FILE-0014</x:v>
      </x:c>
      <x:c r="B22" s="22" t="str">
        <x:v>Nội dung, media &amp; trình bày</x:v>
      </x:c>
      <x:c r="C22" s="22" t="str">
        <x:v>art</x:v>
      </x:c>
      <x:c r="D22" s="22" t="str">
        <x:v>8.4.6-C/for-chat/!art.md</x:v>
      </x:c>
      <x:c r="E22" s="22"/>
      <x:c r="F22" s="23" t="str">
        <x:v>721C609B</x:v>
      </x:c>
      <x:c r="G22" s="23"/>
      <x:c r="H22" s="23" t="str">
        <x:f>IF($N$3&lt;&gt;"DONE","Chờ bản mới",IF(AND(D22="",E22=""),"",IF(D22="","Thêm mới",IF(E22="","Không còn",IF(AND(D22&lt;&gt;E22,F22=G22),"Đổi tên/di chuyển",IF(F22=G22,"Không đổi","Sửa nội dung"))))))</x:f>
        <x:v>Chờ bản mới</x:v>
      </x:c>
      <x:c r="I22" s="22" t="str">
        <x:v>Chờ phân tích khi có bản mới</x:v>
      </x:c>
      <x:c r="J22" s="22" t="str">
        <x:v>Giữ cả các file gốc trong source snapshot; runtime chỉ kích hoạt một bản canonical để tránh nạp kép.</x:v>
      </x:c>
      <x:c r="K22" s="22" t="str">
        <x:v>KEEP_SOURCE + DEDUP_RUNTIME</x:v>
      </x:c>
      <x:c r="L22" s="22" t="str">
        <x:v>.agents/skills/p2p/references/legacy/art.md</x:v>
      </x:c>
      <x:c r="M22" s="22" t="str">
        <x:v>CRC nguồn khớp ZIP; chứng minh bản Codex canonical bao phủ cùng hành vi; không nạp kép.</x:v>
      </x:c>
      <x:c r="N22" s="22" t="str">
        <x:v>Chờ bản mới</x:v>
      </x:c>
      <x:c r="O22" s="22" t="str">
        <x:v>Đây là hình thức phân phối Claude Chat; giữ đủ nhưng không kích hoạt song song với nguồn plugin. Đích đề xuất ban đầu: skills/p2p/references/art.md. Đích thực tế trong gói: .agents/skills/p2p/references/legacy/art.md. Bằng chứng: SOURCE_HASH_VERIFIED; TARGET_PRESENT; ON_DEMAND_LOAD.</x:v>
      </x:c>
    </x:row>
    <x:row r="23" ht="64" customHeight="1">
      <x:c r="A23" s="23" t="str">
        <x:v>P2P-FILE-0015</x:v>
      </x:c>
      <x:c r="B23" s="22" t="str">
        <x:v>Nén ngữ cảnh &amp; PXPIPE</x:v>
      </x:c>
      <x:c r="C23" s="22" t="str">
        <x:v>compression</x:v>
      </x:c>
      <x:c r="D23" s="22" t="str">
        <x:v>8.4.6-C/for-chat/!compression.md</x:v>
      </x:c>
      <x:c r="E23" s="22"/>
      <x:c r="F23" s="23" t="str">
        <x:v>9209AC10</x:v>
      </x:c>
      <x:c r="G23" s="23"/>
      <x:c r="H23" s="23" t="str">
        <x:f>IF($N$3&lt;&gt;"DONE","Chờ bản mới",IF(AND(D23="",E23=""),"",IF(D23="","Thêm mới",IF(E23="","Không còn",IF(AND(D23&lt;&gt;E23,F23=G23),"Đổi tên/di chuyển",IF(F23=G23,"Không đổi","Sửa nội dung"))))))</x:f>
        <x:v>Chờ bản mới</x:v>
      </x:c>
      <x:c r="I23" s="22" t="str">
        <x:v>Chờ phân tích khi có bản mới</x:v>
      </x:c>
      <x:c r="J23" s="22" t="str">
        <x:v>Giữ cả các file gốc trong source snapshot; runtime chỉ kích hoạt một bản canonical để tránh nạp kép.</x:v>
      </x:c>
      <x:c r="K23" s="22" t="str">
        <x:v>KEEP_SOURCE + DEDUP_RUNTIME</x:v>
      </x:c>
      <x:c r="L23" s="22" t="str">
        <x:v>.agents/skills/p2p/references/legacy/compression.md</x:v>
      </x:c>
      <x:c r="M23" s="22" t="str">
        <x:v>CRC nguồn khớp ZIP; chứng minh bản Codex canonical bao phủ cùng hành vi; không nạp kép.</x:v>
      </x:c>
      <x:c r="N23" s="22" t="str">
        <x:v>Chờ bản mới</x:v>
      </x:c>
      <x:c r="O23" s="22" t="str">
        <x:v>Đây là hình thức phân phối Claude Chat; giữ đủ nhưng không kích hoạt song song với nguồn plugin. Đích đề xuất ban đầu: skills/p2p/references/compression.md. Đích thực tế trong gói: .agents/skills/p2p/references/legacy/compression.md. Bằng chứng: SOURCE_HASH_VERIFIED; TARGET_PRESENT; ON_DEMAND_LOAD.</x:v>
      </x:c>
    </x:row>
    <x:row r="24" ht="64" customHeight="1">
      <x:c r="A24" s="23" t="str">
        <x:v>P2P-FILE-0016</x:v>
      </x:c>
      <x:c r="B24" s="22" t="str">
        <x:v>Prompt engineering &amp; QC</x:v>
      </x:c>
      <x:c r="C24" s="22" t="str">
        <x:v>contract</x:v>
      </x:c>
      <x:c r="D24" s="22" t="str">
        <x:v>8.4.6-C/for-chat/!contract.md</x:v>
      </x:c>
      <x:c r="E24" s="22"/>
      <x:c r="F24" s="23" t="str">
        <x:v>8C6A1DE1</x:v>
      </x:c>
      <x:c r="G24" s="23"/>
      <x:c r="H24" s="23" t="str">
        <x:f>IF($N$3&lt;&gt;"DONE","Chờ bản mới",IF(AND(D24="",E24=""),"",IF(D24="","Thêm mới",IF(E24="","Không còn",IF(AND(D24&lt;&gt;E24,F24=G24),"Đổi tên/di chuyển",IF(F24=G24,"Không đổi","Sửa nội dung"))))))</x:f>
        <x:v>Chờ bản mới</x:v>
      </x:c>
      <x:c r="I24" s="22" t="str">
        <x:v>Chờ phân tích khi có bản mới</x:v>
      </x:c>
      <x:c r="J24" s="22" t="str">
        <x:v>Giữ cả các file gốc trong source snapshot; runtime chỉ kích hoạt một bản canonical để tránh nạp kép.</x:v>
      </x:c>
      <x:c r="K24" s="22" t="str">
        <x:v>KEEP_SOURCE + DEDUP_RUNTIME</x:v>
      </x:c>
      <x:c r="L24" s="22" t="str">
        <x:v>.agents/skills/p2p/references/legacy/contract_builder.md</x:v>
      </x:c>
      <x:c r="M24" s="22" t="str">
        <x:v>CRC nguồn khớp ZIP; chứng minh bản Codex canonical bao phủ cùng hành vi; không nạp kép.</x:v>
      </x:c>
      <x:c r="N24" s="22" t="str">
        <x:v>Chờ bản mới</x:v>
      </x:c>
      <x:c r="O24"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skills/p2p/references/contract_builder.md. Đích thực tế trong gói: .agents/skills/p2p/references/legacy/contract_builder.md. Bằng chứng: SOURCE_HASH_VERIFIED; TARGET_PRESENT; ON_DEMAND_LOAD.</x:v>
      </x:c>
    </x:row>
    <x:row r="25" ht="64" customHeight="1">
      <x:c r="A25" s="23" t="str">
        <x:v>P2P-FILE-0017</x:v>
      </x:c>
      <x:c r="B25" s="22" t="str">
        <x:v>Prompt engineering &amp; QC</x:v>
      </x:c>
      <x:c r="C25" s="22" t="str">
        <x:v>debug</x:v>
      </x:c>
      <x:c r="D25" s="22" t="str">
        <x:v>8.4.6-C/for-chat/!debug.md</x:v>
      </x:c>
      <x:c r="E25" s="22"/>
      <x:c r="F25" s="23" t="str">
        <x:v>C7A34587</x:v>
      </x:c>
      <x:c r="G25" s="23"/>
      <x:c r="H25" s="23" t="str">
        <x:f>IF($N$3&lt;&gt;"DONE","Chờ bản mới",IF(AND(D25="",E25=""),"",IF(D25="","Thêm mới",IF(E25="","Không còn",IF(AND(D25&lt;&gt;E25,F25=G25),"Đổi tên/di chuyển",IF(F25=G25,"Không đổi","Sửa nội dung"))))))</x:f>
        <x:v>Chờ bản mới</x:v>
      </x:c>
      <x:c r="I25" s="22" t="str">
        <x:v>Chờ phân tích khi có bản mới</x:v>
      </x:c>
      <x:c r="J25" s="22" t="str">
        <x:v>Giữ cả các file gốc trong source snapshot; runtime chỉ kích hoạt một bản canonical để tránh nạp kép.</x:v>
      </x:c>
      <x:c r="K25" s="22" t="str">
        <x:v>KEEP_SOURCE + DEDUP_RUNTIME</x:v>
      </x:c>
      <x:c r="L25" s="22" t="str">
        <x:v>.agents/skills/p2p/references/legacy/debug_engine.md</x:v>
      </x:c>
      <x:c r="M25" s="22" t="str">
        <x:v>CRC nguồn khớp ZIP; chứng minh bản Codex canonical bao phủ cùng hành vi; không nạp kép.</x:v>
      </x:c>
      <x:c r="N25" s="22" t="str">
        <x:v>Chờ bản mới</x:v>
      </x:c>
      <x:c r="O25" s="22" t="str">
        <x:v>Đây là hình thức phân phối Claude Chat; giữ đủ nhưng không kích hoạt song song với nguồn plugin. Đích đề xuất ban đầu: skills/p2p/references/debug_engine.md. Đích thực tế trong gói: .agents/skills/p2p/references/legacy/debug_engine.md. Bằng chứng: SOURCE_HASH_VERIFIED; TARGET_PRESENT; ON_DEMAND_LOAD.</x:v>
      </x:c>
    </x:row>
    <x:row r="26" ht="64" customHeight="1">
      <x:c r="A26" s="23" t="str">
        <x:v>P2P-FILE-0018</x:v>
      </x:c>
      <x:c r="B26" s="22" t="str">
        <x:v>Ngữ cảnh người dùng &amp; miền</x:v>
      </x:c>
      <x:c r="C26" s="22" t="str">
        <x:v>domain</x:v>
      </x:c>
      <x:c r="D26" s="22" t="str">
        <x:v>8.4.6-C/for-chat/!domain.md</x:v>
      </x:c>
      <x:c r="E26" s="22"/>
      <x:c r="F26" s="23" t="str">
        <x:v>80B80BAF</x:v>
      </x:c>
      <x:c r="G26" s="23"/>
      <x:c r="H26" s="23" t="str">
        <x:f>IF($N$3&lt;&gt;"DONE","Chờ bản mới",IF(AND(D26="",E26=""),"",IF(D26="","Thêm mới",IF(E26="","Không còn",IF(AND(D26&lt;&gt;E26,F26=G26),"Đổi tên/di chuyển",IF(F26=G26,"Không đổi","Sửa nội dung"))))))</x:f>
        <x:v>Chờ bản mới</x:v>
      </x:c>
      <x:c r="I26" s="22" t="str">
        <x:v>Chờ phân tích khi có bản mới</x:v>
      </x:c>
      <x:c r="J26" s="22" t="str">
        <x:v>Giữ cả các file gốc trong source snapshot; runtime chỉ kích hoạt một bản canonical để tránh nạp kép.</x:v>
      </x:c>
      <x:c r="K26" s="22" t="str">
        <x:v>KEEP_SOURCE + DEDUP_RUNTIME</x:v>
      </x:c>
      <x:c r="L26" s="22" t="str">
        <x:v>.agents/skills/p2p/references/legacy/domain_knowledge.md</x:v>
      </x:c>
      <x:c r="M26" s="22" t="str">
        <x:v>CRC nguồn khớp ZIP; chứng minh bản Codex canonical bao phủ cùng hành vi; không nạp kép.</x:v>
      </x:c>
      <x:c r="N26" s="22" t="str">
        <x:v>Chờ bản mới</x:v>
      </x:c>
      <x:c r="O26" s="22" t="str">
        <x:v>Đây là hình thức phân phối Claude Chat; giữ đủ nhưng không kích hoạt song song với nguồn plugin. Đích đề xuất ban đầu: skills/p2p/references/domain_knowledge.md. Đích thực tế trong gói: .agents/skills/p2p/references/legacy/domain_knowledge.md. Bằng chứng: SOURCE_HASH_VERIFIED; TARGET_PRESENT; ON_DEMAND_LOAD.</x:v>
      </x:c>
    </x:row>
    <x:row r="27" ht="64" customHeight="1">
      <x:c r="A27" s="23" t="str">
        <x:v>P2P-FILE-0019</x:v>
      </x:c>
      <x:c r="B27" s="22" t="str">
        <x:v>RAG, reasoning &amp; tối ưu</x:v>
      </x:c>
      <x:c r="C27" s="22" t="str">
        <x:v>exploration</x:v>
      </x:c>
      <x:c r="D27" s="22" t="str">
        <x:v>8.4.6-C/for-chat/!exploration.md</x:v>
      </x:c>
      <x:c r="E27" s="22"/>
      <x:c r="F27" s="23" t="str">
        <x:v>0EFD9DD1</x:v>
      </x:c>
      <x:c r="G27" s="23"/>
      <x:c r="H27" s="23" t="str">
        <x:f>IF($N$3&lt;&gt;"DONE","Chờ bản mới",IF(AND(D27="",E27=""),"",IF(D27="","Thêm mới",IF(E27="","Không còn",IF(AND(D27&lt;&gt;E27,F27=G27),"Đổi tên/di chuyển",IF(F27=G27,"Không đổi","Sửa nội dung"))))))</x:f>
        <x:v>Chờ bản mới</x:v>
      </x:c>
      <x:c r="I27" s="22" t="str">
        <x:v>Chờ phân tích khi có bản mới</x:v>
      </x:c>
      <x:c r="J27" s="22" t="str">
        <x:v>Giữ cả các file gốc trong source snapshot; runtime chỉ kích hoạt một bản canonical để tránh nạp kép.</x:v>
      </x:c>
      <x:c r="K27" s="22" t="str">
        <x:v>KEEP_SOURCE + DEDUP_RUNTIME</x:v>
      </x:c>
      <x:c r="L27" s="22" t="str">
        <x:v>.agents/skills/p2p/references/legacy/exploration_mode.md</x:v>
      </x:c>
      <x:c r="M27" s="22" t="str">
        <x:v>CRC nguồn khớp ZIP; chứng minh bản Codex canonical bao phủ cùng hành vi; không nạp kép.</x:v>
      </x:c>
      <x:c r="N27" s="22" t="str">
        <x:v>Chờ bản mới</x:v>
      </x:c>
      <x:c r="O27" s="22" t="str">
        <x:v>Đây là hình thức phân phối Claude Chat; giữ đủ nhưng không kích hoạt song song với nguồn plugin. Đích đề xuất ban đầu: skills/p2p/references/exploration_mode.md. Đích thực tế trong gói: .agents/skills/p2p/references/legacy/exploration_mode.md. Bằng chứng: SOURCE_HASH_VERIFIED; TARGET_PRESENT; ON_DEMAND_LOAD.</x:v>
      </x:c>
    </x:row>
    <x:row r="28" ht="64" customHeight="1">
      <x:c r="A28" s="23" t="str">
        <x:v>P2P-FILE-0020</x:v>
      </x:c>
      <x:c r="B28" s="22" t="str">
        <x:v>Prompt engineering &amp; QC</x:v>
      </x:c>
      <x:c r="C28" s="22" t="str">
        <x:v>intent</x:v>
      </x:c>
      <x:c r="D28" s="22" t="str">
        <x:v>8.4.6-C/for-chat/!intent.md</x:v>
      </x:c>
      <x:c r="E28" s="22"/>
      <x:c r="F28" s="23" t="str">
        <x:v>AEC33E1A</x:v>
      </x:c>
      <x:c r="G28" s="23"/>
      <x:c r="H28" s="23" t="str">
        <x:f>IF($N$3&lt;&gt;"DONE","Chờ bản mới",IF(AND(D28="",E28=""),"",IF(D28="","Thêm mới",IF(E28="","Không còn",IF(AND(D28&lt;&gt;E28,F28=G28),"Đổi tên/di chuyển",IF(F28=G28,"Không đổi","Sửa nội dung"))))))</x:f>
        <x:v>Chờ bản mới</x:v>
      </x:c>
      <x:c r="I28" s="22" t="str">
        <x:v>Chờ phân tích khi có bản mới</x:v>
      </x:c>
      <x:c r="J28" s="22" t="str">
        <x:v>Giữ cả các file gốc trong source snapshot; runtime chỉ kích hoạt một bản canonical để tránh nạp kép.</x:v>
      </x:c>
      <x:c r="K28" s="22" t="str">
        <x:v>KEEP_SOURCE + DEDUP_RUNTIME</x:v>
      </x:c>
      <x:c r="L28" s="22" t="str">
        <x:v>.agents/skills/p2p/references/legacy/intent_engine.md</x:v>
      </x:c>
      <x:c r="M28" s="22" t="str">
        <x:v>CRC nguồn khớp ZIP; chứng minh bản Codex canonical bao phủ cùng hành vi; không nạp kép.</x:v>
      </x:c>
      <x:c r="N28" s="22" t="str">
        <x:v>Chờ bản mới</x:v>
      </x:c>
      <x:c r="O28" s="22" t="str">
        <x:v>Đây là hình thức phân phối Claude Chat; giữ đủ nhưng không kích hoạt song song với nguồn plugin. Đích đề xuất ban đầu: skills/p2p/references/intent_engine.md. Đích thực tế trong gói: .agents/skills/p2p/references/legacy/intent_engine.md. Bằng chứng: SOURCE_HASH_VERIFIED; TARGET_PRESENT; ON_DEMAND_LOAD.</x:v>
      </x:c>
    </x:row>
    <x:row r="29" ht="64" customHeight="1">
      <x:c r="A29" s="23" t="str">
        <x:v>P2P-FILE-0021</x:v>
      </x:c>
      <x:c r="B29" s="22" t="str">
        <x:v>Trạng thái, scope &amp; đo lường</x:v>
      </x:c>
      <x:c r="C29" s="22" t="str">
        <x:v>memory</x:v>
      </x:c>
      <x:c r="D29" s="22" t="str">
        <x:v>8.4.6-C/for-chat/!memory.md</x:v>
      </x:c>
      <x:c r="E29" s="22"/>
      <x:c r="F29" s="23" t="str">
        <x:v>7AAE320E</x:v>
      </x:c>
      <x:c r="G29" s="23"/>
      <x:c r="H29" s="23" t="str">
        <x:f>IF($N$3&lt;&gt;"DONE","Chờ bản mới",IF(AND(D29="",E29=""),"",IF(D29="","Thêm mới",IF(E29="","Không còn",IF(AND(D29&lt;&gt;E29,F29=G29),"Đổi tên/di chuyển",IF(F29=G29,"Không đổi","Sửa nội dung"))))))</x:f>
        <x:v>Chờ bản mới</x:v>
      </x:c>
      <x:c r="I29" s="22" t="str">
        <x:v>Chờ phân tích khi có bản mới</x:v>
      </x:c>
      <x:c r="J29" s="22" t="str">
        <x:v>Giữ cả các file gốc trong source snapshot; runtime chỉ kích hoạt một bản canonical để tránh nạp kép.</x:v>
      </x:c>
      <x:c r="K29" s="22" t="str">
        <x:v>KEEP_SOURCE + DEDUP_RUNTIME</x:v>
      </x:c>
      <x:c r="L29" s="22" t="str">
        <x:v>.agents/skills/p2p/references/legacy/memory_bridge.md</x:v>
      </x:c>
      <x:c r="M29" s="22" t="str">
        <x:v>CRC nguồn khớp ZIP; chứng minh bản Codex canonical bao phủ cùng hành vi; không nạp kép.</x:v>
      </x:c>
      <x:c r="N29" s="22" t="str">
        <x:v>Chờ bản mới</x:v>
      </x:c>
      <x:c r="O29" s="22" t="str">
        <x:v>Đây là hình thức phân phối Claude Chat; giữ đủ nhưng không kích hoạt song song với nguồn plugin. Không hứa lưu bền qua phiên nếu chưa có storage/connector; cần nêu rõ phạm vi bộ nhớ. Đích đề xuất ban đầu: skills/p2p/references/memory_bridge.md. Đích thực tế trong gói: .agents/skills/p2p/references/legacy/memory_bridge.md. Bằng chứng: SOURCE_HASH_VERIFIED; TARGET_PRESENT; ON_DEMAND_LOAD.</x:v>
      </x:c>
    </x:row>
    <x:row r="30" ht="64" customHeight="1">
      <x:c r="A30" s="23" t="str">
        <x:v>P2P-FILE-0022</x:v>
      </x:c>
      <x:c r="B30" s="22" t="str">
        <x:v>Đào tạo &amp; hướng dẫn</x:v>
      </x:c>
      <x:c r="C30" s="22" t="str">
        <x:v>mentor</x:v>
      </x:c>
      <x:c r="D30" s="22" t="str">
        <x:v>8.4.6-C/for-chat/!mentor.md</x:v>
      </x:c>
      <x:c r="E30" s="22"/>
      <x:c r="F30" s="23" t="str">
        <x:v>6CF69964</x:v>
      </x:c>
      <x:c r="G30" s="23"/>
      <x:c r="H30" s="23" t="str">
        <x:f>IF($N$3&lt;&gt;"DONE","Chờ bản mới",IF(AND(D30="",E30=""),"",IF(D30="","Thêm mới",IF(E30="","Không còn",IF(AND(D30&lt;&gt;E30,F30=G30),"Đổi tên/di chuyển",IF(F30=G30,"Không đổi","Sửa nội dung"))))))</x:f>
        <x:v>Chờ bản mới</x:v>
      </x:c>
      <x:c r="I30" s="22" t="str">
        <x:v>Chờ phân tích khi có bản mới</x:v>
      </x:c>
      <x:c r="J30" s="22" t="str">
        <x:v>Giữ cả các file gốc trong source snapshot; runtime chỉ kích hoạt một bản canonical để tránh nạp kép.</x:v>
      </x:c>
      <x:c r="K30" s="22" t="str">
        <x:v>KEEP_SOURCE + DEDUP_RUNTIME</x:v>
      </x:c>
      <x:c r="L30" s="22" t="str">
        <x:v>.agents/skills/p2p/references/legacy/mentor_method.md</x:v>
      </x:c>
      <x:c r="M30" s="22" t="str">
        <x:v>CRC nguồn khớp ZIP; chứng minh bản Codex canonical bao phủ cùng hành vi; không nạp kép.</x:v>
      </x:c>
      <x:c r="N30" s="22" t="str">
        <x:v>Chờ bản mới</x:v>
      </x:c>
      <x:c r="O30" s="22" t="str">
        <x:v>Đây là hình thức phân phối Claude Chat; giữ đủ nhưng không kích hoạt song song với nguồn plugin. Đích đề xuất ban đầu: skills/p2p/references/mentor_method.md. Đích thực tế trong gói: .agents/skills/p2p/references/legacy/mentor_method.md. Bằng chứng: SOURCE_HASH_VERIFIED; TARGET_PRESENT; ON_DEMAND_LOAD.</x:v>
      </x:c>
    </x:row>
    <x:row r="31" ht="64" customHeight="1">
      <x:c r="A31" s="23" t="str">
        <x:v>P2P-FILE-0023</x:v>
      </x:c>
      <x:c r="B31" s="22" t="str">
        <x:v>Trạng thái, scope &amp; đo lường</x:v>
      </x:c>
      <x:c r="C31" s="22" t="str">
        <x:v>metrics</x:v>
      </x:c>
      <x:c r="D31" s="22" t="str">
        <x:v>8.4.6-C/for-chat/!metrics.md</x:v>
      </x:c>
      <x:c r="E31" s="22"/>
      <x:c r="F31" s="23" t="str">
        <x:v>5D97B386</x:v>
      </x:c>
      <x:c r="G31" s="23"/>
      <x:c r="H31" s="23" t="str">
        <x:f>IF($N$3&lt;&gt;"DONE","Chờ bản mới",IF(AND(D31="",E31=""),"",IF(D31="","Thêm mới",IF(E31="","Không còn",IF(AND(D31&lt;&gt;E31,F31=G31),"Đổi tên/di chuyển",IF(F31=G31,"Không đổi","Sửa nội dung"))))))</x:f>
        <x:v>Chờ bản mới</x:v>
      </x:c>
      <x:c r="I31" s="22" t="str">
        <x:v>Chờ phân tích khi có bản mới</x:v>
      </x:c>
      <x:c r="J31" s="22" t="str">
        <x:v>Giữ cả các file gốc trong source snapshot; runtime chỉ kích hoạt một bản canonical để tránh nạp kép.</x:v>
      </x:c>
      <x:c r="K31" s="22" t="str">
        <x:v>KEEP_SOURCE + DEDUP_RUNTIME</x:v>
      </x:c>
      <x:c r="L31" s="22" t="str">
        <x:v>.agents/skills/p2p/references/legacy/session_metrics.md</x:v>
      </x:c>
      <x:c r="M31" s="22" t="str">
        <x:v>CRC nguồn khớp ZIP; chứng minh bản Codex canonical bao phủ cùng hành vi; không nạp kép.</x:v>
      </x:c>
      <x:c r="N31" s="22" t="str">
        <x:v>Chờ bản mới</x:v>
      </x:c>
      <x:c r="O31" s="22" t="str">
        <x:v>Đây là hình thức phân phối Claude Chat; giữ đủ nhưng không kích hoạt song song với nguồn plugin. Không hứa lưu bền qua phiên nếu chưa có storage/connector; cần nêu rõ phạm vi bộ nhớ. Đích đề xuất ban đầu: skills/p2p/references/session_metrics.md. Đích thực tế trong gói: .agents/skills/p2p/references/legacy/session_metrics.md. Bằng chứng: SOURCE_HASH_VERIFIED; TARGET_PRESENT; ON_DEMAND_LOAD.</x:v>
      </x:c>
    </x:row>
    <x:row r="32" ht="64" customHeight="1">
      <x:c r="A32" s="23" t="str">
        <x:v>P2P-FILE-0024</x:v>
      </x:c>
      <x:c r="B32" s="22" t="str">
        <x:v>RAG, reasoning &amp; tối ưu</x:v>
      </x:c>
      <x:c r="C32" s="22" t="str">
        <x:v>optimization</x:v>
      </x:c>
      <x:c r="D32" s="22" t="str">
        <x:v>8.4.6-C/for-chat/!optimization.md</x:v>
      </x:c>
      <x:c r="E32" s="22"/>
      <x:c r="F32" s="23" t="str">
        <x:v>CFBC20C0</x:v>
      </x:c>
      <x:c r="G32" s="23"/>
      <x:c r="H32" s="23" t="str">
        <x:f>IF($N$3&lt;&gt;"DONE","Chờ bản mới",IF(AND(D32="",E32=""),"",IF(D32="","Thêm mới",IF(E32="","Không còn",IF(AND(D32&lt;&gt;E32,F32=G32),"Đổi tên/di chuyển",IF(F32=G32,"Không đổi","Sửa nội dung"))))))</x:f>
        <x:v>Chờ bản mới</x:v>
      </x:c>
      <x:c r="I32" s="22" t="str">
        <x:v>Chờ phân tích khi có bản mới</x:v>
      </x:c>
      <x:c r="J32" s="22" t="str">
        <x:v>Giữ cả các file gốc trong source snapshot; runtime chỉ kích hoạt một bản canonical để tránh nạp kép.</x:v>
      </x:c>
      <x:c r="K32" s="22" t="str">
        <x:v>KEEP_SOURCE + DEDUP_RUNTIME</x:v>
      </x:c>
      <x:c r="L32" s="22" t="str">
        <x:v>.agents/skills/p2p/references/legacy/optimization.md</x:v>
      </x:c>
      <x:c r="M32" s="22" t="str">
        <x:v>CRC nguồn khớp ZIP; chứng minh bản Codex canonical bao phủ cùng hành vi; không nạp kép.</x:v>
      </x:c>
      <x:c r="N32" s="22" t="str">
        <x:v>Chờ bản mới</x:v>
      </x:c>
      <x:c r="O32" s="22" t="str">
        <x:v>Đây là hình thức phân phối Claude Chat; giữ đủ nhưng không kích hoạt song song với nguồn plugin. Đích đề xuất ban đầu: skills/p2p/references/optimization.md. Đích thực tế trong gói: .agents/skills/p2p/references/legacy/optimization.md. Bằng chứng: SOURCE_HASH_VERIFIED; TARGET_PRESENT; ON_DEMAND_LOAD.</x:v>
      </x:c>
    </x:row>
    <x:row r="33" ht="64" customHeight="1">
      <x:c r="A33" s="23" t="str">
        <x:v>P2P-FILE-0025</x:v>
      </x:c>
      <x:c r="B33" s="22" t="str">
        <x:v>RAG, reasoning &amp; tối ưu</x:v>
      </x:c>
      <x:c r="C33" s="22" t="str">
        <x:v>rag</x:v>
      </x:c>
      <x:c r="D33" s="22" t="str">
        <x:v>8.4.6-C/for-chat/!rag.md</x:v>
      </x:c>
      <x:c r="E33" s="22"/>
      <x:c r="F33" s="23" t="str">
        <x:v>D53BBC30</x:v>
      </x:c>
      <x:c r="G33" s="23"/>
      <x:c r="H33" s="23" t="str">
        <x:f>IF($N$3&lt;&gt;"DONE","Chờ bản mới",IF(AND(D33="",E33=""),"",IF(D33="","Thêm mới",IF(E33="","Không còn",IF(AND(D33&lt;&gt;E33,F33=G33),"Đổi tên/di chuyển",IF(F33=G33,"Không đổi","Sửa nội dung"))))))</x:f>
        <x:v>Chờ bản mới</x:v>
      </x:c>
      <x:c r="I33" s="22" t="str">
        <x:v>Chờ phân tích khi có bản mới</x:v>
      </x:c>
      <x:c r="J33" s="22" t="str">
        <x:v>Giữ cả các file gốc trong source snapshot; runtime chỉ kích hoạt một bản canonical để tránh nạp kép.</x:v>
      </x:c>
      <x:c r="K33" s="22" t="str">
        <x:v>KEEP_SOURCE + DEDUP_RUNTIME</x:v>
      </x:c>
      <x:c r="L33" s="22" t="str">
        <x:v>.agents/skills/p2p/references/legacy/rag.md</x:v>
      </x:c>
      <x:c r="M33" s="22" t="str">
        <x:v>CRC nguồn khớp ZIP; chứng minh bản Codex canonical bao phủ cùng hành vi; không nạp kép.</x:v>
      </x:c>
      <x:c r="N33" s="22" t="str">
        <x:v>Chờ bản mới</x:v>
      </x:c>
      <x:c r="O33" s="22" t="str">
        <x:v>Đây là hình thức phân phối Claude Chat; giữ đủ nhưng không kích hoạt song song với nguồn plugin. Đích đề xuất ban đầu: skills/p2p/references/rag.md. Đích thực tế trong gói: .agents/skills/p2p/references/legacy/rag.md. Bằng chứng: SOURCE_HASH_VERIFIED; TARGET_PRESENT; ON_DEMAND_LOAD.</x:v>
      </x:c>
    </x:row>
    <x:row r="34" ht="64" customHeight="1">
      <x:c r="A34" s="23" t="str">
        <x:v>P2P-FILE-0026</x:v>
      </x:c>
      <x:c r="B34" s="22" t="str">
        <x:v>RAG, reasoning &amp; tối ưu</x:v>
      </x:c>
      <x:c r="C34" s="22" t="str">
        <x:v>reasoning</x:v>
      </x:c>
      <x:c r="D34" s="22" t="str">
        <x:v>8.4.6-C/for-chat/!reasoning.md</x:v>
      </x:c>
      <x:c r="E34" s="22"/>
      <x:c r="F34" s="23" t="str">
        <x:v>60367A7B</x:v>
      </x:c>
      <x:c r="G34" s="23"/>
      <x:c r="H34" s="23" t="str">
        <x:f>IF($N$3&lt;&gt;"DONE","Chờ bản mới",IF(AND(D34="",E34=""),"",IF(D34="","Thêm mới",IF(E34="","Không còn",IF(AND(D34&lt;&gt;E34,F34=G34),"Đổi tên/di chuyển",IF(F34=G34,"Không đổi","Sửa nội dung"))))))</x:f>
        <x:v>Chờ bản mới</x:v>
      </x:c>
      <x:c r="I34" s="22" t="str">
        <x:v>Chờ phân tích khi có bản mới</x:v>
      </x:c>
      <x:c r="J34" s="22" t="str">
        <x:v>Giữ cả các file gốc trong source snapshot; runtime chỉ kích hoạt một bản canonical để tránh nạp kép.</x:v>
      </x:c>
      <x:c r="K34" s="22" t="str">
        <x:v>KEEP_SOURCE + DEDUP_RUNTIME</x:v>
      </x:c>
      <x:c r="L34" s="22" t="str">
        <x:v>.agents/skills/p2p/references/legacy/reasoning.md</x:v>
      </x:c>
      <x:c r="M34" s="22" t="str">
        <x:v>CRC nguồn khớp ZIP; chứng minh bản Codex canonical bao phủ cùng hành vi; không nạp kép.</x:v>
      </x:c>
      <x:c r="N34" s="22" t="str">
        <x:v>Chờ bản mới</x:v>
      </x:c>
      <x:c r="O34" s="22" t="str">
        <x:v>Đây là hình thức phân phối Claude Chat; giữ đủ nhưng không kích hoạt song song với nguồn plugin. Đích đề xuất ban đầu: skills/p2p/references/reasoning.md. Đích thực tế trong gói: .agents/skills/p2p/references/legacy/reasoning.md. Bằng chứng: SOURCE_HASH_VERIFIED; TARGET_PRESENT; ON_DEMAND_LOAD.</x:v>
      </x:c>
    </x:row>
    <x:row r="35" ht="64" customHeight="1">
      <x:c r="A35" s="23" t="str">
        <x:v>P2P-FILE-0027</x:v>
      </x:c>
      <x:c r="B35" s="22" t="str">
        <x:v>RAG, reasoning &amp; tối ưu</x:v>
      </x:c>
      <x:c r="C35" s="22" t="str">
        <x:v>routing</x:v>
      </x:c>
      <x:c r="D35" s="22" t="str">
        <x:v>8.4.6-C/for-chat/!routing.md</x:v>
      </x:c>
      <x:c r="E35" s="22"/>
      <x:c r="F35" s="23" t="str">
        <x:v>435A1FC9</x:v>
      </x:c>
      <x:c r="G35" s="23"/>
      <x:c r="H35" s="23" t="str">
        <x:f>IF($N$3&lt;&gt;"DONE","Chờ bản mới",IF(AND(D35="",E35=""),"",IF(D35="","Thêm mới",IF(E35="","Không còn",IF(AND(D35&lt;&gt;E35,F35=G35),"Đổi tên/di chuyển",IF(F35=G35,"Không đổi","Sửa nội dung"))))))</x:f>
        <x:v>Chờ bản mới</x:v>
      </x:c>
      <x:c r="I35" s="22" t="str">
        <x:v>Chờ phân tích khi có bản mới</x:v>
      </x:c>
      <x:c r="J35" s="22" t="str">
        <x:v>Giữ cả các file gốc trong source snapshot; runtime chỉ kích hoạt một bản canonical để tránh nạp kép.</x:v>
      </x:c>
      <x:c r="K35" s="22" t="str">
        <x:v>KEEP_SOURCE + DEDUP_RUNTIME</x:v>
      </x:c>
      <x:c r="L35" s="22" t="str">
        <x:v>.agents/skills/p2p/references/legacy/routing.md</x:v>
      </x:c>
      <x:c r="M35" s="22" t="str">
        <x:v>CRC nguồn khớp ZIP; chứng minh bản Codex canonical bao phủ cùng hành vi; không nạp kép.</x:v>
      </x:c>
      <x:c r="N35" s="22" t="str">
        <x:v>Chờ bản mới</x:v>
      </x:c>
      <x:c r="O35" s="22" t="str">
        <x:v>Đây là hình thức phân phối Claude Chat; giữ đủ nhưng không kích hoạt song song với nguồn plugin. Có giả định Claude/XML/model-specific; cần giữ ý nghĩa nhưng viết lại cơ chế cho Codex. Đích đề xuất ban đầu: skills/p2p/references/routing.md. Đích thực tế trong gói: .agents/skills/p2p/references/legacy/routing.md. Bằng chứng: SOURCE_HASH_VERIFIED; TARGET_PRESENT; ON_DEMAND_LOAD.</x:v>
      </x:c>
    </x:row>
    <x:row r="36" ht="64" customHeight="1">
      <x:c r="A36" s="23" t="str">
        <x:v>P2P-FILE-0028</x:v>
      </x:c>
      <x:c r="B36" s="22" t="str">
        <x:v>An toàn &amp; quyền kiểm soát</x:v>
      </x:c>
      <x:c r="C36" s="22" t="str">
        <x:v>sandbox</x:v>
      </x:c>
      <x:c r="D36" s="22" t="str">
        <x:v>8.4.6-C/for-chat/!sandbox.md</x:v>
      </x:c>
      <x:c r="E36" s="22"/>
      <x:c r="F36" s="23" t="str">
        <x:v>5E4E4FAC</x:v>
      </x:c>
      <x:c r="G36" s="23"/>
      <x:c r="H36" s="23" t="str">
        <x:f>IF($N$3&lt;&gt;"DONE","Chờ bản mới",IF(AND(D36="",E36=""),"",IF(D36="","Thêm mới",IF(E36="","Không còn",IF(AND(D36&lt;&gt;E36,F36=G36),"Đổi tên/di chuyển",IF(F36=G36,"Không đổi","Sửa nội dung"))))))</x:f>
        <x:v>Chờ bản mới</x:v>
      </x:c>
      <x:c r="I36" s="22" t="str">
        <x:v>Chờ phân tích khi có bản mới</x:v>
      </x:c>
      <x:c r="J36" s="22" t="str">
        <x:v>Giữ cả các file gốc trong source snapshot; runtime chỉ kích hoạt một bản canonical để tránh nạp kép.</x:v>
      </x:c>
      <x:c r="K36" s="22" t="str">
        <x:v>KEEP_SOURCE + DEDUP_RUNTIME</x:v>
      </x:c>
      <x:c r="L36" s="22" t="str">
        <x:v>.agents/skills/p2p/references/legacy/sandbox_user.md</x:v>
      </x:c>
      <x:c r="M36" s="22" t="str">
        <x:v>CRC nguồn khớp ZIP; chứng minh bản Codex canonical bao phủ cùng hành vi; không nạp kép.</x:v>
      </x:c>
      <x:c r="N36" s="22" t="str">
        <x:v>Chờ bản mới</x:v>
      </x:c>
      <x:c r="O36" s="22" t="str">
        <x:v>Đây là hình thức phân phối Claude Chat; giữ đủ nhưng không kích hoạt song song với nguồn plugin. Đích đề xuất ban đầu: skills/p2p/references/sandbox_user.md. Đích thực tế trong gói: .agents/skills/p2p/references/legacy/sandbox_user.md. Bằng chứng: SOURCE_HASH_VERIFIED; TARGET_PRESENT; ON_DEMAND_LOAD.</x:v>
      </x:c>
    </x:row>
    <x:row r="37" ht="64" customHeight="1">
      <x:c r="A37" s="23" t="str">
        <x:v>P2P-FILE-0029</x:v>
      </x:c>
      <x:c r="B37" s="22" t="str">
        <x:v>Trạng thái, scope &amp; đo lường</x:v>
      </x:c>
      <x:c r="C37" s="22" t="str">
        <x:v>scope</x:v>
      </x:c>
      <x:c r="D37" s="22" t="str">
        <x:v>8.4.6-C/for-chat/!scope.md</x:v>
      </x:c>
      <x:c r="E37" s="22"/>
      <x:c r="F37" s="23" t="str">
        <x:v>08FC5D6C</x:v>
      </x:c>
      <x:c r="G37" s="23"/>
      <x:c r="H37" s="23" t="str">
        <x:f>IF($N$3&lt;&gt;"DONE","Chờ bản mới",IF(AND(D37="",E37=""),"",IF(D37="","Thêm mới",IF(E37="","Không còn",IF(AND(D37&lt;&gt;E37,F37=G37),"Đổi tên/di chuyển",IF(F37=G37,"Không đổi","Sửa nội dung"))))))</x:f>
        <x:v>Chờ bản mới</x:v>
      </x:c>
      <x:c r="I37" s="22" t="str">
        <x:v>Chờ phân tích khi có bản mới</x:v>
      </x:c>
      <x:c r="J37" s="22" t="str">
        <x:v>Giữ cả các file gốc trong source snapshot; runtime chỉ kích hoạt một bản canonical để tránh nạp kép.</x:v>
      </x:c>
      <x:c r="K37" s="22" t="str">
        <x:v>KEEP_SOURCE + DEDUP_RUNTIME</x:v>
      </x:c>
      <x:c r="L37" s="22" t="str">
        <x:v>.agents/skills/p2p/references/legacy/scope_helm.md</x:v>
      </x:c>
      <x:c r="M37" s="22" t="str">
        <x:v>CRC nguồn khớp ZIP; chứng minh bản Codex canonical bao phủ cùng hành vi; không nạp kép.</x:v>
      </x:c>
      <x:c r="N37" s="22" t="str">
        <x:v>Chờ bản mới</x:v>
      </x:c>
      <x:c r="O37" s="22" t="str">
        <x:v>Đây là hình thức phân phối Claude Chat; giữ đủ nhưng không kích hoạt song song với nguồn plugin. Đích đề xuất ban đầu: skills/p2p/references/scope_helm.md. Đích thực tế trong gói: .agents/skills/p2p/references/legacy/scope_helm.md. Bằng chứng: SOURCE_HASH_VERIFIED; TARGET_PRESENT; ON_DEMAND_LOAD.</x:v>
      </x:c>
    </x:row>
    <x:row r="38" ht="64" customHeight="1">
      <x:c r="A38" s="23" t="str">
        <x:v>P2P-FILE-0030</x:v>
      </x:c>
      <x:c r="B38" s="22" t="str">
        <x:v>An toàn &amp; quyền kiểm soát</x:v>
      </x:c>
      <x:c r="C38" s="22" t="str">
        <x:v>security</x:v>
      </x:c>
      <x:c r="D38" s="22" t="str">
        <x:v>8.4.6-C/for-chat/!security.md</x:v>
      </x:c>
      <x:c r="E38" s="22"/>
      <x:c r="F38" s="23" t="str">
        <x:v>884BCA2C</x:v>
      </x:c>
      <x:c r="G38" s="23"/>
      <x:c r="H38" s="23" t="str">
        <x:f>IF($N$3&lt;&gt;"DONE","Chờ bản mới",IF(AND(D38="",E38=""),"",IF(D38="","Thêm mới",IF(E38="","Không còn",IF(AND(D38&lt;&gt;E38,F38=G38),"Đổi tên/di chuyển",IF(F38=G38,"Không đổi","Sửa nội dung"))))))</x:f>
        <x:v>Chờ bản mới</x:v>
      </x:c>
      <x:c r="I38" s="22" t="str">
        <x:v>Chờ phân tích khi có bản mới</x:v>
      </x:c>
      <x:c r="J38" s="22" t="str">
        <x:v>Giữ cả các file gốc trong source snapshot; runtime chỉ kích hoạt một bản canonical để tránh nạp kép.</x:v>
      </x:c>
      <x:c r="K38" s="22" t="str">
        <x:v>KEEP_SOURCE + DEDUP_RUNTIME</x:v>
      </x:c>
      <x:c r="L38" s="22" t="str">
        <x:v>.agents/skills/p2p/references/legacy/security.md</x:v>
      </x:c>
      <x:c r="M38" s="22" t="str">
        <x:v>CRC nguồn khớp ZIP; chứng minh bản Codex canonical bao phủ cùng hành vi; không nạp kép.</x:v>
      </x:c>
      <x:c r="N38" s="22" t="str">
        <x:v>Chờ bản mới</x:v>
      </x:c>
      <x:c r="O38" s="22" t="str">
        <x:v>Đây là hình thức phân phối Claude Chat; giữ đủ nhưng không kích hoạt song song với nguồn plugin. Đích đề xuất ban đầu: skills/p2p/references/security.md. Đích thực tế trong gói: .agents/skills/p2p/references/legacy/security.md. Bằng chứng: SOURCE_HASH_VERIFIED; TARGET_PRESENT; ON_DEMAND_LOAD.</x:v>
      </x:c>
    </x:row>
    <x:row r="39" ht="64" customHeight="1">
      <x:c r="A39" s="23" t="str">
        <x:v>P2P-FILE-0031</x:v>
      </x:c>
      <x:c r="B39" s="22" t="str">
        <x:v>Lõi &amp; điều phối</x:v>
      </x:c>
      <x:c r="C39" s="22" t="str">
        <x:v>skills_catalog</x:v>
      </x:c>
      <x:c r="D39" s="22" t="str">
        <x:v>8.4.6-C/for-chat/!skills.md</x:v>
      </x:c>
      <x:c r="E39" s="22"/>
      <x:c r="F39" s="23" t="str">
        <x:v>94513198</x:v>
      </x:c>
      <x:c r="G39" s="23"/>
      <x:c r="H39" s="23" t="str">
        <x:f>IF($N$3&lt;&gt;"DONE","Chờ bản mới",IF(AND(D39="",E39=""),"",IF(D39="","Thêm mới",IF(E39="","Không còn",IF(AND(D39&lt;&gt;E39,F39=G39),"Đổi tên/di chuyển",IF(F39=G39,"Không đổi","Sửa nội dung"))))))</x:f>
        <x:v>Chờ bản mới</x:v>
      </x:c>
      <x:c r="I39" s="22" t="str">
        <x:v>Chờ phân tích khi có bản mới</x:v>
      </x:c>
      <x:c r="J39" s="22" t="str">
        <x:v>Giữ cả các file gốc trong source snapshot; runtime chỉ kích hoạt một bản canonical để tránh nạp kép.</x:v>
      </x:c>
      <x:c r="K39" s="22" t="str">
        <x:v>KEEP_SOURCE + DEDUP_RUNTIME</x:v>
      </x:c>
      <x:c r="L39" s="22" t="str">
        <x:v>.agents/skills/p2p/SKILL.md</x:v>
      </x:c>
      <x:c r="M39" s="22" t="str">
        <x:v>CRC nguồn khớp ZIP; chứng minh bản Codex canonical bao phủ cùng hành vi; không nạp kép.</x:v>
      </x:c>
      <x:c r="N39" s="22" t="str">
        <x:v>Chờ bản mới</x:v>
      </x:c>
      <x:c r="O39" s="22" t="str">
        <x:v>Đây là hình thức phân phối Claude Chat; giữ đủ nhưng không kích hoạt song song với nguồn plugin. Đích đề xuất ban đầu: skills/p2p/SKILL.md. Đích thực tế trong gói: .agents/skills/p2p/SKILL.md. Bằng chứng: TARGET_PRESENT; SKILL_VALIDATOR_PASS.</x:v>
      </x:c>
    </x:row>
    <x:row r="40" ht="64" customHeight="1">
      <x:c r="A40" s="23" t="str">
        <x:v>P2P-FILE-0032</x:v>
      </x:c>
      <x:c r="B40" s="22" t="str">
        <x:v>Đào tạo &amp; hướng dẫn</x:v>
      </x:c>
      <x:c r="C40" s="22" t="str">
        <x:v>teacher</x:v>
      </x:c>
      <x:c r="D40" s="22" t="str">
        <x:v>8.4.6-C/for-chat/!teacher.md</x:v>
      </x:c>
      <x:c r="E40" s="22"/>
      <x:c r="F40" s="23" t="str">
        <x:v>DDC2A335</x:v>
      </x:c>
      <x:c r="G40" s="23"/>
      <x:c r="H40" s="23" t="str">
        <x:f>IF($N$3&lt;&gt;"DONE","Chờ bản mới",IF(AND(D40="",E40=""),"",IF(D40="","Thêm mới",IF(E40="","Không còn",IF(AND(D40&lt;&gt;E40,F40=G40),"Đổi tên/di chuyển",IF(F40=G40,"Không đổi","Sửa nội dung"))))))</x:f>
        <x:v>Chờ bản mới</x:v>
      </x:c>
      <x:c r="I40" s="22" t="str">
        <x:v>Chờ phân tích khi có bản mới</x:v>
      </x:c>
      <x:c r="J40" s="22" t="str">
        <x:v>Giữ cả các file gốc trong source snapshot; runtime chỉ kích hoạt một bản canonical để tránh nạp kép.</x:v>
      </x:c>
      <x:c r="K40" s="22" t="str">
        <x:v>KEEP_SOURCE + DEDUP_RUNTIME</x:v>
      </x:c>
      <x:c r="L40" s="22" t="str">
        <x:v>.agents/skills/p2p/references/legacy/teacher.md</x:v>
      </x:c>
      <x:c r="M40" s="22" t="str">
        <x:v>CRC nguồn khớp ZIP; chứng minh bản Codex canonical bao phủ cùng hành vi; không nạp kép.</x:v>
      </x:c>
      <x:c r="N40" s="22" t="str">
        <x:v>Chờ bản mới</x:v>
      </x:c>
      <x:c r="O40" s="22" t="str">
        <x:v>Đây là hình thức phân phối Claude Chat; giữ đủ nhưng không kích hoạt song song với nguồn plugin. Đích đề xuất ban đầu: skills/p2p/references/teacher.md. Đích thực tế trong gói: .agents/skills/p2p/references/legacy/teacher.md. Bằng chứng: SOURCE_HASH_VERIFIED; TARGET_PRESENT; ON_DEMAND_LOAD.</x:v>
      </x:c>
    </x:row>
    <x:row r="41" ht="64" customHeight="1">
      <x:c r="A41" s="23" t="str">
        <x:v>P2P-FILE-0033</x:v>
      </x:c>
      <x:c r="B41" s="22" t="str">
        <x:v>Prompt engineering &amp; QC</x:v>
      </x:c>
      <x:c r="C41" s="22" t="str">
        <x:v>templates</x:v>
      </x:c>
      <x:c r="D41" s="22" t="str">
        <x:v>8.4.6-C/for-chat/!templates.md</x:v>
      </x:c>
      <x:c r="E41" s="22"/>
      <x:c r="F41" s="23" t="str">
        <x:v>70F97FFD</x:v>
      </x:c>
      <x:c r="G41" s="23"/>
      <x:c r="H41" s="23" t="str">
        <x:f>IF($N$3&lt;&gt;"DONE","Chờ bản mới",IF(AND(D41="",E41=""),"",IF(D41="","Thêm mới",IF(E41="","Không còn",IF(AND(D41&lt;&gt;E41,F41=G41),"Đổi tên/di chuyển",IF(F41=G41,"Không đổi","Sửa nội dung"))))))</x:f>
        <x:v>Chờ bản mới</x:v>
      </x:c>
      <x:c r="I41" s="22" t="str">
        <x:v>Chờ phân tích khi có bản mới</x:v>
      </x:c>
      <x:c r="J41" s="22" t="str">
        <x:v>Giữ cả các file gốc trong source snapshot; runtime chỉ kích hoạt một bản canonical để tránh nạp kép.</x:v>
      </x:c>
      <x:c r="K41" s="22" t="str">
        <x:v>KEEP_SOURCE + DEDUP_RUNTIME</x:v>
      </x:c>
      <x:c r="L41" s="22" t="str">
        <x:v>.agents/skills/p2p/references/legacy/templates_library.md</x:v>
      </x:c>
      <x:c r="M41" s="22" t="str">
        <x:v>CRC nguồn khớp ZIP; chứng minh bản Codex canonical bao phủ cùng hành vi; không nạp kép.</x:v>
      </x:c>
      <x:c r="N41" s="22" t="str">
        <x:v>Chờ bản mới</x:v>
      </x:c>
      <x:c r="O41" s="22" t="str">
        <x:v>Đây là hình thức phân phối Claude Chat; giữ đủ nhưng không kích hoạt song song với nguồn plugin. Đích đề xuất ban đầu: skills/p2p/references/templates_library.md. Đích thực tế trong gói: .agents/skills/p2p/references/legacy/templates_library.md. Bằng chứng: SOURCE_HASH_VERIFIED; TARGET_PRESENT; ON_DEMAND_LOAD.</x:v>
      </x:c>
    </x:row>
    <x:row r="42" ht="64" customHeight="1">
      <x:c r="A42" s="23" t="str">
        <x:v>P2P-FILE-0034</x:v>
      </x:c>
      <x:c r="B42" s="22" t="str">
        <x:v>Trạng thái, scope &amp; đo lường</x:v>
      </x:c>
      <x:c r="C42" s="22" t="str">
        <x:v>tool_budget</x:v>
      </x:c>
      <x:c r="D42" s="22" t="str">
        <x:v>8.4.6-C/for-chat/!tool_budget.md</x:v>
      </x:c>
      <x:c r="E42" s="22"/>
      <x:c r="F42" s="23" t="str">
        <x:v>EEC83DF1</x:v>
      </x:c>
      <x:c r="G42" s="23"/>
      <x:c r="H42" s="23" t="str">
        <x:f>IF($N$3&lt;&gt;"DONE","Chờ bản mới",IF(AND(D42="",E42=""),"",IF(D42="","Thêm mới",IF(E42="","Không còn",IF(AND(D42&lt;&gt;E42,F42=G42),"Đổi tên/di chuyển",IF(F42=G42,"Không đổi","Sửa nội dung"))))))</x:f>
        <x:v>Chờ bản mới</x:v>
      </x:c>
      <x:c r="I42" s="22" t="str">
        <x:v>Chờ phân tích khi có bản mới</x:v>
      </x:c>
      <x:c r="J42" s="22" t="str">
        <x:v>Giữ cả các file gốc trong source snapshot; runtime chỉ kích hoạt một bản canonical để tránh nạp kép.</x:v>
      </x:c>
      <x:c r="K42" s="22" t="str">
        <x:v>KEEP_SOURCE + DEDUP_RUNTIME</x:v>
      </x:c>
      <x:c r="L42" s="22" t="str">
        <x:v>.agents/skills/p2p/references/legacy/tool_budget.md</x:v>
      </x:c>
      <x:c r="M42" s="22" t="str">
        <x:v>CRC nguồn khớp ZIP; chứng minh bản Codex canonical bao phủ cùng hành vi; không nạp kép.</x:v>
      </x:c>
      <x:c r="N42" s="22" t="str">
        <x:v>Chờ bản mới</x:v>
      </x:c>
      <x:c r="O42" s="22" t="str">
        <x:v>Đây là hình thức phân phối Claude Chat; giữ đủ nhưng không kích hoạt song song với nguồn plugin. Đích đề xuất ban đầu: skills/p2p/references/tool_budget.md. Đích thực tế trong gói: .agents/skills/p2p/references/legacy/tool_budget.md. Bằng chứng: SOURCE_HASH_VERIFIED; TARGET_PRESENT; ON_DEMAND_LOAD.</x:v>
      </x:c>
    </x:row>
    <x:row r="43" ht="64" customHeight="1">
      <x:c r="A43" s="23" t="str">
        <x:v>P2P-FILE-0035</x:v>
      </x:c>
      <x:c r="B43" s="22" t="str">
        <x:v>Ngữ cảnh người dùng &amp; miền</x:v>
      </x:c>
      <x:c r="C43" s="22" t="str">
        <x:v>user_context</x:v>
      </x:c>
      <x:c r="D43" s="22" t="str">
        <x:v>8.4.6-C/for-chat/!user_context.md</x:v>
      </x:c>
      <x:c r="E43" s="22"/>
      <x:c r="F43" s="23" t="str">
        <x:v>F0FCE6A8</x:v>
      </x:c>
      <x:c r="G43" s="23"/>
      <x:c r="H43" s="23" t="str">
        <x:f>IF($N$3&lt;&gt;"DONE","Chờ bản mới",IF(AND(D43="",E43=""),"",IF(D43="","Thêm mới",IF(E43="","Không còn",IF(AND(D43&lt;&gt;E43,F43=G43),"Đổi tên/di chuyển",IF(F43=G43,"Không đổi","Sửa nội dung"))))))</x:f>
        <x:v>Chờ bản mới</x:v>
      </x:c>
      <x:c r="I43" s="22" t="str">
        <x:v>Chờ phân tích khi có bản mới</x:v>
      </x:c>
      <x:c r="J43" s="22" t="str">
        <x:v>Giữ cả các file gốc trong source snapshot; runtime chỉ kích hoạt một bản canonical để tránh nạp kép.</x:v>
      </x:c>
      <x:c r="K43" s="22" t="str">
        <x:v>KEEP_SOURCE + DEDUP_RUNTIME</x:v>
      </x:c>
      <x:c r="L43" s="22" t="str">
        <x:v>.agents/skills/p2p/references/legacy/user_context.md</x:v>
      </x:c>
      <x:c r="M43" s="22" t="str">
        <x:v>CRC nguồn khớp ZIP; chứng minh bản Codex canonical bao phủ cùng hành vi; không nạp kép.</x:v>
      </x:c>
      <x:c r="N43" s="22" t="str">
        <x:v>Chờ bản mới</x:v>
      </x:c>
      <x:c r="O43" s="22" t="str">
        <x:v>Đây là hình thức phân phối Claude Chat; giữ đủ nhưng không kích hoạt song song với nguồn plugin. Đích đề xuất ban đầu: skills/p2p/references/user_context.md. Đích thực tế trong gói: .agents/skills/p2p/references/legacy/user_context.md. Bằng chứng: SOURCE_HASH_VERIFIED; TARGET_PRESENT; ON_DEMAND_LOAD.</x:v>
      </x:c>
    </x:row>
    <x:row r="44" ht="64" customHeight="1">
      <x:c r="A44" s="23" t="str">
        <x:v>P2P-FILE-0036</x:v>
      </x:c>
      <x:c r="B44" s="22" t="str">
        <x:v>Nội dung, media &amp; trình bày</x:v>
      </x:c>
      <x:c r="C44" s="22" t="str">
        <x:v>visual</x:v>
      </x:c>
      <x:c r="D44" s="22" t="str">
        <x:v>8.4.6-C/for-chat/!visual.md</x:v>
      </x:c>
      <x:c r="E44" s="22"/>
      <x:c r="F44" s="23" t="str">
        <x:v>E4A8BD65</x:v>
      </x:c>
      <x:c r="G44" s="23"/>
      <x:c r="H44" s="23" t="str">
        <x:f>IF($N$3&lt;&gt;"DONE","Chờ bản mới",IF(AND(D44="",E44=""),"",IF(D44="","Thêm mới",IF(E44="","Không còn",IF(AND(D44&lt;&gt;E44,F44=G44),"Đổi tên/di chuyển",IF(F44=G44,"Không đổi","Sửa nội dung"))))))</x:f>
        <x:v>Chờ bản mới</x:v>
      </x:c>
      <x:c r="I44" s="22" t="str">
        <x:v>Chờ phân tích khi có bản mới</x:v>
      </x:c>
      <x:c r="J44" s="22" t="str">
        <x:v>Giữ cả các file gốc trong source snapshot; runtime chỉ kích hoạt một bản canonical để tránh nạp kép.</x:v>
      </x:c>
      <x:c r="K44" s="22" t="str">
        <x:v>KEEP_SOURCE + DEDUP_RUNTIME</x:v>
      </x:c>
      <x:c r="L44" s="22" t="str">
        <x:v>.agents/skills/p2p/references/legacy/visual_suite.md</x:v>
      </x:c>
      <x:c r="M44" s="22" t="str">
        <x:v>CRC nguồn khớp ZIP; chứng minh bản Codex canonical bao phủ cùng hành vi; không nạp kép.</x:v>
      </x:c>
      <x:c r="N44" s="22" t="str">
        <x:v>Chờ bản mới</x:v>
      </x:c>
      <x:c r="O44" s="22" t="str">
        <x:v>Đây là hình thức phân phối Claude Chat; giữ đủ nhưng không kích hoạt song song với nguồn plugin. Đích đề xuất ban đầu: skills/p2p/references/visual_suite.md. Đích thực tế trong gói: .agents/skills/p2p/references/legacy/visual_suite.md. Bằng chứng: SOURCE_HASH_VERIFIED; TARGET_PRESENT; ON_DEMAND_LOAD.</x:v>
      </x:c>
    </x:row>
    <x:row r="45" ht="64" customHeight="1">
      <x:c r="A45" s="23" t="str">
        <x:v>P2P-FILE-0037</x:v>
      </x:c>
      <x:c r="B45" s="22" t="str">
        <x:v>Nội dung, media &amp; trình bày</x:v>
      </x:c>
      <x:c r="C45" s="22" t="str">
        <x:v>writing</x:v>
      </x:c>
      <x:c r="D45" s="22" t="str">
        <x:v>8.4.6-C/for-chat/!writing.md</x:v>
      </x:c>
      <x:c r="E45" s="22"/>
      <x:c r="F45" s="23" t="str">
        <x:v>9BFCD428</x:v>
      </x:c>
      <x:c r="G45" s="23"/>
      <x:c r="H45" s="23" t="str">
        <x:f>IF($N$3&lt;&gt;"DONE","Chờ bản mới",IF(AND(D45="",E45=""),"",IF(D45="","Thêm mới",IF(E45="","Không còn",IF(AND(D45&lt;&gt;E45,F45=G45),"Đổi tên/di chuyển",IF(F45=G45,"Không đổi","Sửa nội dung"))))))</x:f>
        <x:v>Chờ bản mới</x:v>
      </x:c>
      <x:c r="I45" s="22" t="str">
        <x:v>Chờ phân tích khi có bản mới</x:v>
      </x:c>
      <x:c r="J45" s="22" t="str">
        <x:v>Giữ cả các file gốc trong source snapshot; runtime chỉ kích hoạt một bản canonical để tránh nạp kép.</x:v>
      </x:c>
      <x:c r="K45" s="22" t="str">
        <x:v>KEEP_SOURCE + DEDUP_RUNTIME</x:v>
      </x:c>
      <x:c r="L45" s="22" t="str">
        <x:v>.agents/skills/p2p/references/legacy/writing_suite.md</x:v>
      </x:c>
      <x:c r="M45" s="22" t="str">
        <x:v>CRC nguồn khớp ZIP; chứng minh bản Codex canonical bao phủ cùng hành vi; không nạp kép.</x:v>
      </x:c>
      <x:c r="N45" s="22" t="str">
        <x:v>Chờ bản mới</x:v>
      </x:c>
      <x:c r="O45" s="22" t="str">
        <x:v>Đây là hình thức phân phối Claude Chat; giữ đủ nhưng không kích hoạt song song với nguồn plugin. Đích đề xuất ban đầu: skills/p2p/references/writing_suite.md. Đích thực tế trong gói: .agents/skills/p2p/references/legacy/writing_suite.md. Bằng chứng: SOURCE_HASH_VERIFIED; TARGET_PRESENT; ON_DEMAND_LOAD.</x:v>
      </x:c>
    </x:row>
    <x:row r="46" ht="64" customHeight="1">
      <x:c r="A46" s="23" t="str">
        <x:v>P2P-FILE-0038</x:v>
      </x:c>
      <x:c r="B46" s="22" t="str">
        <x:v>Prompt engineering &amp; QC</x:v>
      </x:c>
      <x:c r="C46" s="22" t="str">
        <x:v>glossary</x:v>
      </x:c>
      <x:c r="D46" s="22" t="str">
        <x:v>8.4.6-C/for-chat/_glossary.md</x:v>
      </x:c>
      <x:c r="E46" s="22"/>
      <x:c r="F46" s="23" t="str">
        <x:v>A9F39606</x:v>
      </x:c>
      <x:c r="G46" s="23"/>
      <x:c r="H46" s="23" t="str">
        <x:f>IF($N$3&lt;&gt;"DONE","Chờ bản mới",IF(AND(D46="",E46=""),"",IF(D46="","Thêm mới",IF(E46="","Không còn",IF(AND(D46&lt;&gt;E46,F46=G46),"Đổi tên/di chuyển",IF(F46=G46,"Không đổi","Sửa nội dung"))))))</x:f>
        <x:v>Chờ bản mới</x:v>
      </x:c>
      <x:c r="I46" s="22" t="str">
        <x:v>Chờ phân tích khi có bản mới</x:v>
      </x:c>
      <x:c r="J46" s="22" t="str">
        <x:v>Giữ cả các file gốc trong source snapshot; runtime chỉ kích hoạt một bản canonical để tránh nạp kép.</x:v>
      </x:c>
      <x:c r="K46" s="22" t="str">
        <x:v>KEEP_SOURCE + DEDUP_RUNTIME</x:v>
      </x:c>
      <x:c r="L46" s="22" t="str">
        <x:v>.agents/skills/p2p/references/legacy/glossary.md</x:v>
      </x:c>
      <x:c r="M46" s="22" t="str">
        <x:v>CRC nguồn khớp ZIP; chứng minh bản Codex canonical bao phủ cùng hành vi; không nạp kép.</x:v>
      </x:c>
      <x:c r="N46" s="22" t="str">
        <x:v>Chờ bản mới</x:v>
      </x:c>
      <x:c r="O46" s="22" t="str">
        <x:v>Đây là hình thức phân phối Claude Chat; giữ đủ nhưng không kích hoạt song song với nguồn plugin. Đích đề xuất ban đầu: skills/p2p/references/glossary.md. Đích thực tế trong gói: .agents/skills/p2p/references/legacy/glossary.md. Bằng chứng: SOURCE_HASH_VERIFIED; TARGET_PRESENT; ON_DEMAND_LOAD.</x:v>
      </x:c>
    </x:row>
    <x:row r="47" ht="64" customHeight="1">
      <x:c r="A47" s="23" t="str">
        <x:v>P2P-FILE-0039</x:v>
      </x:c>
      <x:c r="B47" s="22" t="str">
        <x:v>Lõi &amp; điều phối</x:v>
      </x:c>
      <x:c r="C47" s="22" t="str">
        <x:v>global_index</x:v>
      </x:c>
      <x:c r="D47" s="22" t="str">
        <x:v>8.4.6-C/for-chat/_index.md</x:v>
      </x:c>
      <x:c r="E47" s="22"/>
      <x:c r="F47" s="23" t="str">
        <x:v>985EBCA4</x:v>
      </x:c>
      <x:c r="G47" s="23"/>
      <x:c r="H47" s="23" t="str">
        <x:f>IF($N$3&lt;&gt;"DONE","Chờ bản mới",IF(AND(D47="",E47=""),"",IF(D47="","Thêm mới",IF(E47="","Không còn",IF(AND(D47&lt;&gt;E47,F47=G47),"Đổi tên/di chuyển",IF(F47=G47,"Không đổi","Sửa nội dung"))))))</x:f>
        <x:v>Chờ bản mới</x:v>
      </x:c>
      <x:c r="I47" s="22" t="str">
        <x:v>Chờ phân tích khi có bản mới</x:v>
      </x:c>
      <x:c r="J47" s="22" t="str">
        <x:v>Giữ cả các file gốc trong source snapshot; runtime chỉ kích hoạt một bản canonical để tránh nạp kép.</x:v>
      </x:c>
      <x:c r="K47" s="22" t="str">
        <x:v>KEEP_SOURCE + DEDUP_RUNTIME</x:v>
      </x:c>
      <x:c r="L47" s="22" t="str">
        <x:v>.agents/skills/p2p/references/legacy/global_index.md</x:v>
      </x:c>
      <x:c r="M47" s="22" t="str">
        <x:v>CRC nguồn khớp ZIP; chứng minh bản Codex canonical bao phủ cùng hành vi; không nạp kép.</x:v>
      </x:c>
      <x:c r="N47" s="22" t="str">
        <x:v>Chờ bản mới</x:v>
      </x:c>
      <x:c r="O47" s="22" t="str">
        <x:v>Đây là hình thức phân phối Claude Chat; giữ đủ nhưng không kích hoạt song song với nguồn plugin. Đích đề xuất ban đầu: skills/p2p/references/global_index.md. Đích thực tế trong gói: .agents/skills/p2p/references/legacy/global_index.md. Bằng chứng: SOURCE_HASH_VERIFIED; TARGET_PRESENT; ON_DEMAND_LOAD.</x:v>
      </x:c>
    </x:row>
    <x:row r="48" ht="64" customHeight="1">
      <x:c r="A48" s="23" t="str">
        <x:v>P2P-FILE-0040</x:v>
      </x:c>
      <x:c r="B48" s="22" t="str">
        <x:v>Dữ liệu LIVE &amp; model/vendor</x:v>
      </x:c>
      <x:c r="C48" s="22" t="str">
        <x:v>live_manifest</x:v>
      </x:c>
      <x:c r="D48" s="22" t="str">
        <x:v>8.4.6-C/for-chat/_live/MANIFEST.md</x:v>
      </x:c>
      <x:c r="E48" s="22"/>
      <x:c r="F48" s="23" t="str">
        <x:v>74B93702</x:v>
      </x:c>
      <x:c r="G48" s="23"/>
      <x:c r="H48" s="23" t="str">
        <x:f>IF($N$3&lt;&gt;"DONE","Chờ bản mới",IF(AND(D48="",E48=""),"",IF(D48="","Thêm mới",IF(E48="","Không còn",IF(AND(D48&lt;&gt;E48,F48=G48),"Đổi tên/di chuyển",IF(F48=G48,"Không đổi","Sửa nội dung"))))))</x:f>
        <x:v>Chờ bản mới</x:v>
      </x:c>
      <x:c r="I48" s="22" t="str">
        <x:v>Chờ phân tích khi có bản mới</x:v>
      </x:c>
      <x:c r="J48" s="22" t="str">
        <x:v>Giữ cả các file gốc trong source snapshot; runtime chỉ kích hoạt một bản canonical để tránh nạp kép. Snapshot chỉ là bằng chứng lịch sử; lớp LIVE mới phải có nguồn và ngày kiểm chứng.</x:v>
      </x:c>
      <x:c r="K48" s="22" t="str">
        <x:v>KEEP_SOURCE + DEDUP_RUNTIME + VERIFY_LIVE</x:v>
      </x:c>
      <x:c r="L48" s="22" t="str">
        <x:v>.agents/skills/p2p/references/legacy/live/_live_manifest.md</x:v>
      </x:c>
      <x:c r="M48" s="22" t="str">
        <x:v>CRC nguồn khớp ZIP; chứng minh bản Codex canonical bao phủ cùng hành vi; không nạp kép.</x:v>
      </x:c>
      <x:c r="N48" s="22" t="str">
        <x:v>Chờ bản mới</x:v>
      </x:c>
      <x:c r="O48"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skills/p2p/references/live/live_manifest.md. Đích thực tế trong gói: .agents/skills/p2p/references/legacy/live/_live_manifest.md. Bằng chứng: SOURCE_HASH_VERIFIED; FRESHNESS_GATE_REQUIRED.</x:v>
      </x:c>
    </x:row>
    <x:row r="49" ht="64" customHeight="1">
      <x:c r="A49" s="23" t="str">
        <x:v>P2P-FILE-0041</x:v>
      </x:c>
      <x:c r="B49" s="22" t="str">
        <x:v>Dữ liệu LIVE &amp; model/vendor</x:v>
      </x:c>
      <x:c r="C49" s="22" t="str">
        <x:v>live_claude</x:v>
      </x:c>
      <x:c r="D49" s="22" t="str">
        <x:v>8.4.6-C/for-chat/_live/live_claude.md</x:v>
      </x:c>
      <x:c r="E49" s="22"/>
      <x:c r="F49" s="23" t="str">
        <x:v>B114AE94</x:v>
      </x:c>
      <x:c r="G49" s="23"/>
      <x:c r="H49" s="23" t="str">
        <x:f>IF($N$3&lt;&gt;"DONE","Chờ bản mới",IF(AND(D49="",E49=""),"",IF(D49="","Thêm mới",IF(E49="","Không còn",IF(AND(D49&lt;&gt;E49,F49=G49),"Đổi tên/di chuyển",IF(F49=G49,"Không đổi","Sửa nội dung"))))))</x:f>
        <x:v>Chờ bản mới</x:v>
      </x:c>
      <x:c r="I49" s="22" t="str">
        <x:v>Chờ phân tích khi có bản mới</x:v>
      </x:c>
      <x:c r="J49" s="22" t="str">
        <x:v>Giữ cả các file gốc trong source snapshot; runtime chỉ kích hoạt một bản canonical để tránh nạp kép. Snapshot chỉ là bằng chứng lịch sử; lớp LIVE mới phải có nguồn và ngày kiểm chứng.</x:v>
      </x:c>
      <x:c r="K49" s="22" t="str">
        <x:v>KEEP_SOURCE + DEDUP_RUNTIME + VERIFY_LIVE</x:v>
      </x:c>
      <x:c r="L49" s="22" t="str">
        <x:v>.agents/skills/p2p/references/legacy/live/_live_claude.md</x:v>
      </x:c>
      <x:c r="M49" s="22" t="str">
        <x:v>CRC nguồn khớp ZIP; chứng minh bản Codex canonical bao phủ cùng hành vi; không nạp kép.</x:v>
      </x:c>
      <x:c r="N49" s="22" t="str">
        <x:v>Chờ bản mới</x:v>
      </x:c>
      <x:c r="O49"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skills/p2p/references/live/live_claude.md. Đích thực tế trong gói: .agents/skills/p2p/references/legacy/live/_live_claude.md. Bằng chứng: SOURCE_HASH_VERIFIED; FRESHNESS_GATE_REQUIRED.</x:v>
      </x:c>
    </x:row>
    <x:row r="50" ht="64" customHeight="1">
      <x:c r="A50" s="23" t="str">
        <x:v>P2P-FILE-0042</x:v>
      </x:c>
      <x:c r="B50" s="22" t="str">
        <x:v>Dữ liệu LIVE &amp; model/vendor</x:v>
      </x:c>
      <x:c r="C50" s="22" t="str">
        <x:v>live_core</x:v>
      </x:c>
      <x:c r="D50" s="22" t="str">
        <x:v>8.4.6-C/for-chat/_live/live_core.md</x:v>
      </x:c>
      <x:c r="E50" s="22"/>
      <x:c r="F50" s="23" t="str">
        <x:v>6398C8D1</x:v>
      </x:c>
      <x:c r="G50" s="23"/>
      <x:c r="H50" s="23" t="str">
        <x:f>IF($N$3&lt;&gt;"DONE","Chờ bản mới",IF(AND(D50="",E50=""),"",IF(D50="","Thêm mới",IF(E50="","Không còn",IF(AND(D50&lt;&gt;E50,F50=G50),"Đổi tên/di chuyển",IF(F50=G50,"Không đổi","Sửa nội dung"))))))</x:f>
        <x:v>Chờ bản mới</x:v>
      </x:c>
      <x:c r="I50" s="22" t="str">
        <x:v>Chờ phân tích khi có bản mới</x:v>
      </x:c>
      <x:c r="J50" s="22" t="str">
        <x:v>Giữ cả các file gốc trong source snapshot; runtime chỉ kích hoạt một bản canonical để tránh nạp kép. Snapshot chỉ là bằng chứng lịch sử; lớp LIVE mới phải có nguồn và ngày kiểm chứng.</x:v>
      </x:c>
      <x:c r="K50" s="22" t="str">
        <x:v>KEEP_SOURCE + DEDUP_RUNTIME + VERIFY_LIVE</x:v>
      </x:c>
      <x:c r="L50" s="22" t="str">
        <x:v>.agents/skills/p2p/references/legacy/live/_live_core.md</x:v>
      </x:c>
      <x:c r="M50" s="22" t="str">
        <x:v>CRC nguồn khớp ZIP; chứng minh bản Codex canonical bao phủ cùng hành vi; không nạp kép.</x:v>
      </x:c>
      <x:c r="N50" s="22" t="str">
        <x:v>Chờ bản mới</x:v>
      </x:c>
      <x:c r="O50" s="22" t="str">
        <x:v>Đây là hình thức phân phối Claude Chat; giữ đủ nhưng không kích hoạt song song với nguồn plugin. Không hứa lưu bền qua phiên nếu chưa có storage/connector; cần nêu rõ phạm vi bộ nhớ. Đích đề xuất ban đầu: skills/p2p/references/live/live_core.md. Đích thực tế trong gói: .agents/skills/p2p/references/legacy/live/_live_core.md. Bằng chứng: SOURCE_HASH_VERIFIED; FRESHNESS_GATE_REQUIRED.</x:v>
      </x:c>
    </x:row>
    <x:row r="51" ht="64" customHeight="1">
      <x:c r="A51" s="23" t="str">
        <x:v>P2P-FILE-0043</x:v>
      </x:c>
      <x:c r="B51" s="22" t="str">
        <x:v>Dữ liệu LIVE &amp; model/vendor</x:v>
      </x:c>
      <x:c r="C51" s="22" t="str">
        <x:v>live_specs</x:v>
      </x:c>
      <x:c r="D51" s="22" t="str">
        <x:v>8.4.6-C/for-chat/_live/live_specs.md</x:v>
      </x:c>
      <x:c r="E51" s="22"/>
      <x:c r="F51" s="23" t="str">
        <x:v>64C65DDA</x:v>
      </x:c>
      <x:c r="G51" s="23"/>
      <x:c r="H51" s="23" t="str">
        <x:f>IF($N$3&lt;&gt;"DONE","Chờ bản mới",IF(AND(D51="",E51=""),"",IF(D51="","Thêm mới",IF(E51="","Không còn",IF(AND(D51&lt;&gt;E51,F51=G51),"Đổi tên/di chuyển",IF(F51=G51,"Không đổi","Sửa nội dung"))))))</x:f>
        <x:v>Chờ bản mới</x:v>
      </x:c>
      <x:c r="I51" s="22" t="str">
        <x:v>Chờ phân tích khi có bản mới</x:v>
      </x:c>
      <x:c r="J51" s="22" t="str">
        <x:v>Giữ cả các file gốc trong source snapshot; runtime chỉ kích hoạt một bản canonical để tránh nạp kép. Snapshot chỉ là bằng chứng lịch sử; lớp LIVE mới phải có nguồn và ngày kiểm chứng.</x:v>
      </x:c>
      <x:c r="K51" s="22" t="str">
        <x:v>KEEP_SOURCE + DEDUP_RUNTIME + VERIFY_LIVE</x:v>
      </x:c>
      <x:c r="L51" s="22" t="str">
        <x:v>.agents/skills/p2p/references/legacy/live/live_specs.md</x:v>
      </x:c>
      <x:c r="M51" s="22" t="str">
        <x:v>CRC nguồn khớp ZIP; chứng minh bản Codex canonical bao phủ cùng hành vi; không nạp kép.</x:v>
      </x:c>
      <x:c r="N51" s="22" t="str">
        <x:v>Chờ bản mới</x:v>
      </x:c>
      <x:c r="O51"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skills/p2p/references/live/live_specs.md. Đích thực tế trong gói: .agents/skills/p2p/references/legacy/live/live_specs.md. Bằng chứng: SOURCE_HASH_VERIFIED; FRESHNESS_GATE_REQUIRED.</x:v>
      </x:c>
    </x:row>
    <x:row r="52" ht="64" customHeight="1">
      <x:c r="A52" s="23" t="str">
        <x:v>P2P-FILE-0044</x:v>
      </x:c>
      <x:c r="B52" s="22" t="str">
        <x:v>Dữ liệu LIVE &amp; model/vendor</x:v>
      </x:c>
      <x:c r="C52" s="22" t="str">
        <x:v>live_vendors</x:v>
      </x:c>
      <x:c r="D52" s="22" t="str">
        <x:v>8.4.6-C/for-chat/_live/live_vendors.md</x:v>
      </x:c>
      <x:c r="E52" s="22"/>
      <x:c r="F52" s="23" t="str">
        <x:v>B45B0812</x:v>
      </x:c>
      <x:c r="G52" s="23"/>
      <x:c r="H52" s="23" t="str">
        <x:f>IF($N$3&lt;&gt;"DONE","Chờ bản mới",IF(AND(D52="",E52=""),"",IF(D52="","Thêm mới",IF(E52="","Không còn",IF(AND(D52&lt;&gt;E52,F52=G52),"Đổi tên/di chuyển",IF(F52=G52,"Không đổi","Sửa nội dung"))))))</x:f>
        <x:v>Chờ bản mới</x:v>
      </x:c>
      <x:c r="I52" s="22" t="str">
        <x:v>Chờ phân tích khi có bản mới</x:v>
      </x:c>
      <x:c r="J52" s="22" t="str">
        <x:v>Giữ cả các file gốc trong source snapshot; runtime chỉ kích hoạt một bản canonical để tránh nạp kép. Snapshot chỉ là bằng chứng lịch sử; lớp LIVE mới phải có nguồn và ngày kiểm chứng.</x:v>
      </x:c>
      <x:c r="K52" s="22" t="str">
        <x:v>KEEP_SOURCE + DEDUP_RUNTIME + VERIFY_LIVE</x:v>
      </x:c>
      <x:c r="L52" s="22" t="str">
        <x:v>source/8.4.6-C/for-chat/_live/live_vendors.md</x:v>
      </x:c>
      <x:c r="M52" s="22" t="str">
        <x:v>CRC nguồn khớp ZIP; chứng minh bản Codex canonical bao phủ cùng hành vi; không nạp kép.</x:v>
      </x:c>
      <x:c r="N52" s="22" t="str">
        <x:v>Chờ bản mới</x:v>
      </x:c>
      <x:c r="O52" s="22" t="str">
        <x:v>Đây là hình thức phân phối Claude Chat; giữ đủ nhưng không kích hoạt song song với nguồn plugin. Tên model, giá, API và context có thể thay đổi; không coi snapshot là dữ liệu hiện hành. Không tạo runtime riêng; toàn văn vẫn còn trong source snapshot và manifest truy vết. Bằng chứng: SOURCE_HASH_VERIFIED; FRESHNESS_GATE_REQUIRED.</x:v>
      </x:c>
    </x:row>
    <x:row r="53" ht="64" customHeight="1">
      <x:c r="A53" s="23" t="str">
        <x:v>P2P-FILE-0045</x:v>
      </x:c>
      <x:c r="B53" s="22" t="str">
        <x:v>Lõi &amp; điều phối</x:v>
      </x:c>
      <x:c r="C53" s="22" t="str">
        <x:v>master</x:v>
      </x:c>
      <x:c r="D53" s="22" t="str">
        <x:v>8.4.6-C/for-chat/_master.md</x:v>
      </x:c>
      <x:c r="E53" s="22"/>
      <x:c r="F53" s="23" t="str">
        <x:v>98347974</x:v>
      </x:c>
      <x:c r="G53" s="23"/>
      <x:c r="H53" s="23" t="str">
        <x:f>IF($N$3&lt;&gt;"DONE","Chờ bản mới",IF(AND(D53="",E53=""),"",IF(D53="","Thêm mới",IF(E53="","Không còn",IF(AND(D53&lt;&gt;E53,F53=G53),"Đổi tên/di chuyển",IF(F53=G53,"Không đổi","Sửa nội dung"))))))</x:f>
        <x:v>Chờ bản mới</x:v>
      </x:c>
      <x:c r="I53" s="22" t="str">
        <x:v>Chờ phân tích khi có bản mới</x:v>
      </x:c>
      <x:c r="J53" s="22" t="str">
        <x:v>Giữ cả các file gốc trong source snapshot; runtime chỉ kích hoạt một bản canonical để tránh nạp kép.</x:v>
      </x:c>
      <x:c r="K53" s="22" t="str">
        <x:v>KEEP_SOURCE + DEDUP_RUNTIME</x:v>
      </x:c>
      <x:c r="L53" s="22" t="str">
        <x:v>.agents/skills/p2p/references/legacy/master.md</x:v>
      </x:c>
      <x:c r="M53" s="22" t="str">
        <x:v>CRC nguồn khớp ZIP; chứng minh bản Codex canonical bao phủ cùng hành vi; không nạp kép.</x:v>
      </x:c>
      <x:c r="N53" s="22" t="str">
        <x:v>Chờ bản mới</x:v>
      </x:c>
      <x:c r="O53" s="22" t="str">
        <x:v>Đây là hình thức phân phối Claude Chat; giữ đủ nhưng không kích hoạt song song với nguồn plugin. Một số metadata còn nhắc v8C.2; cần ghi rõ là lịch sử/assembly cũ trước khi dùng. Đích đề xuất ban đầu: docs/api-assembly.md. Đích thực tế trong gói: .agents/skills/p2p/references/legacy/master.md. Bằng chứng: SOURCE_HASH_VERIFIED; TARGET_PRESENT; ON_DEMAND_LOAD.</x:v>
      </x:c>
    </x:row>
    <x:row r="54" ht="64" customHeight="1">
      <x:c r="A54" s="23" t="str">
        <x:v>P2P-FILE-0046</x:v>
      </x:c>
      <x:c r="B54" s="22" t="str">
        <x:v>Lõi &amp; điều phối</x:v>
      </x:c>
      <x:c r="C54" s="22" t="str">
        <x:v>preloader</x:v>
      </x:c>
      <x:c r="D54" s="22" t="str">
        <x:v>8.4.6-C/for-chat/_preloader.md</x:v>
      </x:c>
      <x:c r="E54" s="22"/>
      <x:c r="F54" s="23" t="str">
        <x:v>A8719994</x:v>
      </x:c>
      <x:c r="G54" s="23"/>
      <x:c r="H54" s="23" t="str">
        <x:f>IF($N$3&lt;&gt;"DONE","Chờ bản mới",IF(AND(D54="",E54=""),"",IF(D54="","Thêm mới",IF(E54="","Không còn",IF(AND(D54&lt;&gt;E54,F54=G54),"Đổi tên/di chuyển",IF(F54=G54,"Không đổi","Sửa nội dung"))))))</x:f>
        <x:v>Chờ bản mới</x:v>
      </x:c>
      <x:c r="I54" s="22" t="str">
        <x:v>Chờ phân tích khi có bản mới</x:v>
      </x:c>
      <x:c r="J54" s="22" t="str">
        <x:v>Giữ cả các file gốc trong source snapshot; runtime chỉ kích hoạt một bản canonical để tránh nạp kép.</x:v>
      </x:c>
      <x:c r="K54" s="22" t="str">
        <x:v>KEEP_SOURCE + DEDUP_RUNTIME</x:v>
      </x:c>
      <x:c r="L54" s="22" t="str">
        <x:v>.agents/skills/p2p/references/legacy/preloader.md</x:v>
      </x:c>
      <x:c r="M54" s="22" t="str">
        <x:v>CRC nguồn khớp ZIP; chứng minh bản Codex canonical bao phủ cùng hành vi; không nạp kép.</x:v>
      </x:c>
      <x:c r="N54" s="22" t="str">
        <x:v>Chờ bản mới</x:v>
      </x:c>
      <x:c r="O54" s="22" t="str">
        <x:v>Đây là hình thức phân phối Claude Chat; giữ đủ nhưng không kích hoạt song song với nguồn plugin. Đích đề xuất ban đầu: skills/p2p/references/preloader.md. Đích thực tế trong gói: .agents/skills/p2p/references/legacy/preloader.md. Bằng chứng: SOURCE_HASH_VERIFIED; TARGET_PRESENT; ON_DEMAND_LOAD.</x:v>
      </x:c>
    </x:row>
    <x:row r="55" ht="64" customHeight="1">
      <x:c r="A55" s="23" t="str">
        <x:v>P2P-FILE-0047</x:v>
      </x:c>
      <x:c r="B55" s="22" t="str">
        <x:v>Tài liệu &amp; truy vết</x:v>
      </x:c>
      <x:c r="C55" s="22" t="str">
        <x:v>changelog</x:v>
      </x:c>
      <x:c r="D55" s="22" t="str">
        <x:v>8.4.6-C/for-chat/docs/CHANGELOG_v8C3.md</x:v>
      </x:c>
      <x:c r="E55" s="22"/>
      <x:c r="F55" s="23" t="str">
        <x:v>26F33867</x:v>
      </x:c>
      <x:c r="G55" s="23"/>
      <x:c r="H55" s="23" t="str">
        <x:f>IF($N$3&lt;&gt;"DONE","Chờ bản mới",IF(AND(D55="",E55=""),"",IF(D55="","Thêm mới",IF(E55="","Không còn",IF(AND(D55&lt;&gt;E55,F55=G55),"Đổi tên/di chuyển",IF(F55=G55,"Không đổi","Sửa nội dung"))))))</x:f>
        <x:v>Chờ bản mới</x:v>
      </x:c>
      <x:c r="I55" s="22" t="str">
        <x:v>Chờ phân tích khi có bản mới</x:v>
      </x:c>
      <x:c r="J55" s="22" t="str">
        <x:v>Giữ nguyên byte trong source/8.4.6-C; bản Codex ghi đường dẫn nguồn và CRC.</x:v>
      </x:c>
      <x:c r="K55" s="22" t="str">
        <x:v>KEEP_SOURCE + ADAPT_DOCS</x:v>
      </x:c>
      <x:c r="L55" s="22" t="str">
        <x:v>source/8.4.6-C/for-chat/docs/CHANGELOG_v8C3.md</x:v>
      </x:c>
      <x:c r="M55" s="22" t="str">
        <x:v>CRC nguồn khớp ZIP; chứng minh bản Codex canonical bao phủ cùng hành vi; không nạp kép.</x:v>
      </x:c>
      <x:c r="N55" s="22" t="str">
        <x:v>Chờ bản mới</x:v>
      </x:c>
      <x:c r="O55" s="22" t="str">
        <x:v>Đây là hình thức phân phối Claude Chat; giữ đủ nhưng không kích hoạt song song với nguồn plugin. Không tạo runtime riêng; toàn văn vẫn còn trong source snapshot và manifest truy vết. Bằng chứng: SOURCE_HASH_VERIFIED; NO_SEPARATE_RUNTIME_TARGET.</x:v>
      </x:c>
    </x:row>
    <x:row r="56" ht="64" customHeight="1">
      <x:c r="A56" s="23" t="str">
        <x:v>P2P-FILE-0048</x:v>
      </x:c>
      <x:c r="B56" s="22" t="str">
        <x:v>Tài liệu &amp; truy vết</x:v>
      </x:c>
      <x:c r="C56" s="22" t="str">
        <x:v>credits</x:v>
      </x:c>
      <x:c r="D56" s="22" t="str">
        <x:v>8.4.6-C/for-chat/docs/CREDITS_TECHNIQUES.md</x:v>
      </x:c>
      <x:c r="E56" s="22"/>
      <x:c r="F56" s="23" t="str">
        <x:v>BA80EB3C</x:v>
      </x:c>
      <x:c r="G56" s="23"/>
      <x:c r="H56" s="23" t="str">
        <x:f>IF($N$3&lt;&gt;"DONE","Chờ bản mới",IF(AND(D56="",E56=""),"",IF(D56="","Thêm mới",IF(E56="","Không còn",IF(AND(D56&lt;&gt;E56,F56=G56),"Đổi tên/di chuyển",IF(F56=G56,"Không đổi","Sửa nội dung"))))))</x:f>
        <x:v>Chờ bản mới</x:v>
      </x:c>
      <x:c r="I56" s="22" t="str">
        <x:v>Chờ phân tích khi có bản mới</x:v>
      </x:c>
      <x:c r="J56" s="22" t="str">
        <x:v>Giữ cả các file gốc trong source snapshot; runtime chỉ kích hoạt một bản canonical để tránh nạp kép.</x:v>
      </x:c>
      <x:c r="K56" s="22" t="str">
        <x:v>KEEP_SOURCE + ADAPT_DOCS</x:v>
      </x:c>
      <x:c r="L56" s="22" t="str">
        <x:v>NOTICE.md</x:v>
      </x:c>
      <x:c r="M56" s="22" t="str">
        <x:v>CRC nguồn khớp ZIP; chứng minh bản Codex canonical bao phủ cùng hành vi; không nạp kép.</x:v>
      </x:c>
      <x:c r="N56" s="22" t="str">
        <x:v>Chờ bản mới</x:v>
      </x:c>
      <x:c r="O56" s="22" t="str">
        <x:v>Đây là hình thức phân phối Claude Chat; giữ đủ nhưng không kích hoạt song song với nguồn plugin. Đích đề xuất ban đầu: docs/for-chat/docs/CREDITS_TECHNIQUES.md. Đích thực tế trong gói: NOTICE.md. Bằng chứng: SOURCE_HASH_VERIFIED; ADAPTED_TARGET_PRESENT.</x:v>
      </x:c>
    </x:row>
    <x:row r="57" ht="64" customHeight="1">
      <x:c r="A57" s="23" t="str">
        <x:v>P2P-FILE-0049</x:v>
      </x:c>
      <x:c r="B57" s="22" t="str">
        <x:v>Tài liệu &amp; truy vết</x:v>
      </x:c>
      <x:c r="C57" s="22" t="str">
        <x:v>install_guide</x:v>
      </x:c>
      <x:c r="D57" s="22" t="str">
        <x:v>8.4.6-C/for-chat/docs/INSTALL_GUIDE.md</x:v>
      </x:c>
      <x:c r="E57" s="22"/>
      <x:c r="F57" s="23" t="str">
        <x:v>1351FB65</x:v>
      </x:c>
      <x:c r="G57" s="23"/>
      <x:c r="H57" s="23" t="str">
        <x:f>IF($N$3&lt;&gt;"DONE","Chờ bản mới",IF(AND(D57="",E57=""),"",IF(D57="","Thêm mới",IF(E57="","Không còn",IF(AND(D57&lt;&gt;E57,F57=G57),"Đổi tên/di chuyển",IF(F57=G57,"Không đổi","Sửa nội dung"))))))</x:f>
        <x:v>Chờ bản mới</x:v>
      </x:c>
      <x:c r="I57" s="22" t="str">
        <x:v>Chờ phân tích khi có bản mới</x:v>
      </x:c>
      <x:c r="J57" s="22" t="str">
        <x:v>Giữ nguyên byte trong source/8.4.6-C; bản Codex ghi đường dẫn nguồn và CRC.</x:v>
      </x:c>
      <x:c r="K57" s="22" t="str">
        <x:v>KEEP_SOURCE + ADAPT_DOCS</x:v>
      </x:c>
      <x:c r="L57" s="22" t="str">
        <x:v>BAT-DAU.md</x:v>
      </x:c>
      <x:c r="M57" s="22" t="str">
        <x:v>CRC nguồn khớp ZIP; chứng minh bản Codex canonical bao phủ cùng hành vi; không nạp kép.</x:v>
      </x:c>
      <x:c r="N57" s="22" t="str">
        <x:v>Chờ bản mới</x:v>
      </x:c>
      <x:c r="O57" s="22" t="str">
        <x:v>Đây là hình thức phân phối Claude Chat; giữ đủ nhưng không kích hoạt song song với nguồn plugin. Đích đề xuất ban đầu: docs/for-chat/docs/INSTALL_GUIDE.md. Đích thực tế trong gói: BAT-DAU.md. Bằng chứng: SOURCE_HASH_VERIFIED; ADAPTED_TARGET_PRESENT.</x:v>
      </x:c>
    </x:row>
    <x:row r="58" ht="64" customHeight="1">
      <x:c r="A58" s="23" t="str">
        <x:v>P2P-FILE-0050</x:v>
      </x:c>
      <x:c r="B58" s="22" t="str">
        <x:v>Tài liệu &amp; truy vết</x:v>
      </x:c>
      <x:c r="C58" s="22" t="str">
        <x:v>architecture_map</x:v>
      </x:c>
      <x:c r="D58" s="22" t="str">
        <x:v>8.4.6-C/for-chat/docs/MINDMAP_v8C3.md</x:v>
      </x:c>
      <x:c r="E58" s="22"/>
      <x:c r="F58" s="23" t="str">
        <x:v>9516991C</x:v>
      </x:c>
      <x:c r="G58" s="23"/>
      <x:c r="H58" s="23" t="str">
        <x:f>IF($N$3&lt;&gt;"DONE","Chờ bản mới",IF(AND(D58="",E58=""),"",IF(D58="","Thêm mới",IF(E58="","Không còn",IF(AND(D58&lt;&gt;E58,F58=G58),"Đổi tên/di chuyển",IF(F58=G58,"Không đổi","Sửa nội dung"))))))</x:f>
        <x:v>Chờ bản mới</x:v>
      </x:c>
      <x:c r="I58" s="22" t="str">
        <x:v>Chờ phân tích khi có bản mới</x:v>
      </x:c>
      <x:c r="J58" s="22" t="str">
        <x:v>Giữ nguyên byte trong source/8.4.6-C; bản Codex ghi đường dẫn nguồn và CRC.</x:v>
      </x:c>
      <x:c r="K58" s="22" t="str">
        <x:v>KEEP_SOURCE + ADAPT_DOCS</x:v>
      </x:c>
      <x:c r="L58" s="22" t="str">
        <x:v>docs/KIEN-TRUC.md</x:v>
      </x:c>
      <x:c r="M58" s="22" t="str">
        <x:v>CRC nguồn khớp ZIP; chứng minh bản Codex canonical bao phủ cùng hành vi; không nạp kép.</x:v>
      </x:c>
      <x:c r="N58" s="22" t="str">
        <x:v>Chờ bản mới</x:v>
      </x:c>
      <x:c r="O58" s="22" t="str">
        <x:v>Đây là hình thức phân phối Claude Chat; giữ đủ nhưng không kích hoạt song song với nguồn plugin. Đích đề xuất ban đầu: docs/for-chat/docs/MINDMAP_v8C3.md. Đích thực tế trong gói: docs/KIEN-TRUC.md. Bằng chứng: SOURCE_HASH_VERIFIED; ADAPTED_TARGET_PRESENT.</x:v>
      </x:c>
    </x:row>
    <x:row r="59" ht="64" customHeight="1">
      <x:c r="A59" s="23" t="str">
        <x:v>P2P-FILE-0051</x:v>
      </x:c>
      <x:c r="B59" s="22" t="str">
        <x:v>Tài liệu &amp; truy vết</x:v>
      </x:c>
      <x:c r="C59" s="22" t="str">
        <x:v>modes_guide</x:v>
      </x:c>
      <x:c r="D59" s="22" t="str">
        <x:v>8.4.6-C/for-chat/docs/MODES_GUIDE.md</x:v>
      </x:c>
      <x:c r="E59" s="22"/>
      <x:c r="F59" s="23" t="str">
        <x:v>6DD60A8D</x:v>
      </x:c>
      <x:c r="G59" s="23"/>
      <x:c r="H59" s="23" t="str">
        <x:f>IF($N$3&lt;&gt;"DONE","Chờ bản mới",IF(AND(D59="",E59=""),"",IF(D59="","Thêm mới",IF(E59="","Không còn",IF(AND(D59&lt;&gt;E59,F59=G59),"Đổi tên/di chuyển",IF(F59=G59,"Không đổi","Sửa nội dung"))))))</x:f>
        <x:v>Chờ bản mới</x:v>
      </x:c>
      <x:c r="I59" s="22" t="str">
        <x:v>Chờ phân tích khi có bản mới</x:v>
      </x:c>
      <x:c r="J59" s="22" t="str">
        <x:v>Giữ nguyên byte trong source/8.4.6-C; bản Codex ghi đường dẫn nguồn và CRC.</x:v>
      </x:c>
      <x:c r="K59" s="22" t="str">
        <x:v>KEEP_SOURCE + ADAPT_DOCS</x:v>
      </x:c>
      <x:c r="L59" s="22" t="str">
        <x:v>.agents/skills/p2p/references/modes.md</x:v>
      </x:c>
      <x:c r="M59" s="22" t="str">
        <x:v>CRC nguồn khớp ZIP; chứng minh bản Codex canonical bao phủ cùng hành vi; không nạp kép.</x:v>
      </x:c>
      <x:c r="N59" s="22" t="str">
        <x:v>Chờ bản mới</x:v>
      </x:c>
      <x:c r="O59" s="22" t="str">
        <x:v>Đây là hình thức phân phối Claude Chat; giữ đủ nhưng không kích hoạt song song với nguồn plugin. Đích đề xuất ban đầu: docs/for-chat/docs/MODES_GUIDE.md. Đích thực tế trong gói: .agents/skills/p2p/references/modes.md. Bằng chứng: SOURCE_HASH_VERIFIED; TARGET_PRESENT; ON_DEMAND_LOAD.</x:v>
      </x:c>
    </x:row>
    <x:row r="60" ht="64" customHeight="1">
      <x:c r="A60" s="23" t="str">
        <x:v>P2P-FILE-0052</x:v>
      </x:c>
      <x:c r="B60" s="22" t="str">
        <x:v>Tài liệu &amp; truy vết</x:v>
      </x:c>
      <x:c r="C60" s="22" t="str">
        <x:v>module_reference</x:v>
      </x:c>
      <x:c r="D60" s="22" t="str">
        <x:v>8.4.6-C/for-chat/docs/MODULE_REFERENCE.md</x:v>
      </x:c>
      <x:c r="E60" s="22"/>
      <x:c r="F60" s="23" t="str">
        <x:v>DB9566AB</x:v>
      </x:c>
      <x:c r="G60" s="23"/>
      <x:c r="H60" s="23" t="str">
        <x:f>IF($N$3&lt;&gt;"DONE","Chờ bản mới",IF(AND(D60="",E60=""),"",IF(D60="","Thêm mới",IF(E60="","Không còn",IF(AND(D60&lt;&gt;E60,F60=G60),"Đổi tên/di chuyển",IF(F60=G60,"Không đổi","Sửa nội dung"))))))</x:f>
        <x:v>Chờ bản mới</x:v>
      </x:c>
      <x:c r="I60" s="22" t="str">
        <x:v>Chờ phân tích khi có bản mới</x:v>
      </x:c>
      <x:c r="J60" s="22" t="str">
        <x:v>Giữ nguyên byte trong source/8.4.6-C; bản Codex ghi đường dẫn nguồn và CRC.</x:v>
      </x:c>
      <x:c r="K60" s="22" t="str">
        <x:v>KEEP_SOURCE + ADAPT_DOCS</x:v>
      </x:c>
      <x:c r="L60" s="22" t="str">
        <x:v>.agents/skills/p2p/references/module-index.md</x:v>
      </x:c>
      <x:c r="M60" s="22" t="str">
        <x:v>CRC nguồn khớp ZIP; chứng minh bản Codex canonical bao phủ cùng hành vi; không nạp kép.</x:v>
      </x:c>
      <x:c r="N60" s="22" t="str">
        <x:v>Chờ bản mới</x:v>
      </x:c>
      <x:c r="O60" s="22" t="str">
        <x:v>Đây là hình thức phân phối Claude Chat; giữ đủ nhưng không kích hoạt song song với nguồn plugin. Đích đề xuất ban đầu: docs/for-chat/docs/MODULE_REFERENCE.md. Đích thực tế trong gói: .agents/skills/p2p/references/module-index.md. Bằng chứng: SOURCE_HASH_VERIFIED; TARGET_PRESENT; ON_DEMAND_LOAD.</x:v>
      </x:c>
    </x:row>
    <x:row r="61" ht="64" customHeight="1">
      <x:c r="A61" s="23" t="str">
        <x:v>P2P-FILE-0053</x:v>
      </x:c>
      <x:c r="B61" s="22" t="str">
        <x:v>Tài liệu &amp; truy vết</x:v>
      </x:c>
      <x:c r="C61" s="22" t="str">
        <x:v>techniques</x:v>
      </x:c>
      <x:c r="D61" s="22" t="str">
        <x:v>8.4.6-C/for-chat/docs/TECHNIQUES_v8C3.md</x:v>
      </x:c>
      <x:c r="E61" s="22"/>
      <x:c r="F61" s="23" t="str">
        <x:v>4A118820</x:v>
      </x:c>
      <x:c r="G61" s="23"/>
      <x:c r="H61" s="23" t="str">
        <x:f>IF($N$3&lt;&gt;"DONE","Chờ bản mới",IF(AND(D61="",E61=""),"",IF(D61="","Thêm mới",IF(E61="","Không còn",IF(AND(D61&lt;&gt;E61,F61=G61),"Đổi tên/di chuyển",IF(F61=G61,"Không đổi","Sửa nội dung"))))))</x:f>
        <x:v>Chờ bản mới</x:v>
      </x:c>
      <x:c r="I61" s="22" t="str">
        <x:v>Chờ phân tích khi có bản mới</x:v>
      </x:c>
      <x:c r="J61" s="22" t="str">
        <x:v>Giữ nguyên byte trong source/8.4.6-C; bản Codex ghi đường dẫn nguồn và CRC.</x:v>
      </x:c>
      <x:c r="K61" s="22" t="str">
        <x:v>KEEP_SOURCE + ADAPT_DOCS</x:v>
      </x:c>
      <x:c r="L61" s="22" t="str">
        <x:v>.agents/skills/p2p/references/module-index.md</x:v>
      </x:c>
      <x:c r="M61" s="22" t="str">
        <x:v>CRC nguồn khớp ZIP; chứng minh bản Codex canonical bao phủ cùng hành vi; không nạp kép.</x:v>
      </x:c>
      <x:c r="N61" s="22" t="str">
        <x:v>Chờ bản mới</x:v>
      </x:c>
      <x:c r="O61" s="22" t="str">
        <x:v>Đây là hình thức phân phối Claude Chat; giữ đủ nhưng không kích hoạt song song với nguồn plugin. Đích đề xuất ban đầu: docs/for-chat/docs/TECHNIQUES_v8C3.md. Đích thực tế trong gói: .agents/skills/p2p/references/module-index.md. Bằng chứng: SOURCE_HASH_VERIFIED; TARGET_PRESENT; ON_DEMAND_LOAD.</x:v>
      </x:c>
    </x:row>
    <x:row r="62" ht="64" customHeight="1">
      <x:c r="A62" s="23" t="str">
        <x:v>P2P-FILE-0054</x:v>
      </x:c>
      <x:c r="B62" s="22" t="str">
        <x:v>Tài liệu &amp; truy vết</x:v>
      </x:c>
      <x:c r="C62" s="22" t="str">
        <x:v>what_to_load</x:v>
      </x:c>
      <x:c r="D62" s="22" t="str">
        <x:v>8.4.6-C/for-chat/docs/ЧТО_ЗАГРУЖАТЬ.txt</x:v>
      </x:c>
      <x:c r="E62" s="22"/>
      <x:c r="F62" s="23" t="str">
        <x:v>AB58F99E</x:v>
      </x:c>
      <x:c r="G62" s="23"/>
      <x:c r="H62" s="23" t="str">
        <x:f>IF($N$3&lt;&gt;"DONE","Chờ bản mới",IF(AND(D62="",E62=""),"",IF(D62="","Thêm mới",IF(E62="","Không còn",IF(AND(D62&lt;&gt;E62,F62=G62),"Đổi tên/di chuyển",IF(F62=G62,"Không đổi","Sửa nội dung"))))))</x:f>
        <x:v>Chờ bản mới</x:v>
      </x:c>
      <x:c r="I62" s="22" t="str">
        <x:v>Chờ phân tích khi có bản mới</x:v>
      </x:c>
      <x:c r="J62" s="22" t="str">
        <x:v>Giữ nguyên byte trong source/8.4.6-C; bản Codex ghi đường dẫn nguồn và CRC.</x:v>
      </x:c>
      <x:c r="K62" s="22" t="str">
        <x:v>KEEP_SOURCE + ADAPT_DOCS</x:v>
      </x:c>
      <x:c r="L62" s="22" t="str">
        <x:v>BAT-DAU.md</x:v>
      </x:c>
      <x:c r="M62" s="22" t="str">
        <x:v>CRC nguồn khớp ZIP; chứng minh bản Codex canonical bao phủ cùng hành vi; không nạp kép.</x:v>
      </x:c>
      <x:c r="N62" s="22" t="str">
        <x:v>Chờ bản mới</x:v>
      </x:c>
      <x:c r="O62" s="22" t="str">
        <x:v>Đây là hình thức phân phối Claude Chat; giữ đủ nhưng không kích hoạt song song với nguồn plugin. Đích đề xuất ban đầu: docs/CAN-NAP-GI.md. Đích thực tế trong gói: BAT-DAU.md. Bằng chứng: SOURCE_HASH_VERIFIED; ADAPTED_TARGET_PRESENT.</x:v>
      </x:c>
    </x:row>
    <x:row r="63" ht="64" customHeight="1">
      <x:c r="A63" s="23" t="str">
        <x:v>P2P-FILE-0055</x:v>
      </x:c>
      <x:c r="B63" s="22" t="str">
        <x:v>Dữ liệu LIVE &amp; model/vendor</x:v>
      </x:c>
      <x:c r="C63" s="22" t="str">
        <x:v>vendor_tier1</x:v>
      </x:c>
      <x:c r="D63" s="22" t="str">
        <x:v>8.4.6-C/for-chat/vendors/tier1.md</x:v>
      </x:c>
      <x:c r="E63" s="22"/>
      <x:c r="F63" s="23" t="str">
        <x:v>1E68D4BB</x:v>
      </x:c>
      <x:c r="G63" s="23"/>
      <x:c r="H63" s="23" t="str">
        <x:f>IF($N$3&lt;&gt;"DONE","Chờ bản mới",IF(AND(D63="",E63=""),"",IF(D63="","Thêm mới",IF(E63="","Không còn",IF(AND(D63&lt;&gt;E63,F63=G63),"Đổi tên/di chuyển",IF(F63=G63,"Không đổi","Sửa nội dung"))))))</x:f>
        <x:v>Chờ bản mới</x:v>
      </x:c>
      <x:c r="I63" s="22" t="str">
        <x:v>Chờ phân tích khi có bản mới</x:v>
      </x:c>
      <x:c r="J63" s="22" t="str">
        <x:v>Giữ cả các file gốc trong source snapshot; runtime chỉ kích hoạt một bản canonical để tránh nạp kép. Snapshot chỉ là bằng chứng lịch sử; lớp LIVE mới phải có nguồn và ngày kiểm chứng.</x:v>
      </x:c>
      <x:c r="K63" s="22" t="str">
        <x:v>KEEP_SOURCE + DEDUP_RUNTIME + VERIFY_LIVE</x:v>
      </x:c>
      <x:c r="L63" s="22" t="str">
        <x:v>.agents/skills/p2p/references/legacy/live/tier1.md</x:v>
      </x:c>
      <x:c r="M63" s="22" t="str">
        <x:v>CRC nguồn khớp ZIP; chứng minh bản Codex canonical bao phủ cùng hành vi; không nạp kép.</x:v>
      </x:c>
      <x:c r="N63" s="22" t="str">
        <x:v>Chờ bản mới</x:v>
      </x:c>
      <x:c r="O63"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skills/p2p/references/live/vendor_tier1.md. Đích thực tế trong gói: .agents/skills/p2p/references/legacy/live/tier1.md. Bằng chứng: SOURCE_HASH_VERIFIED; FRESHNESS_GATE_REQUIRED.</x:v>
      </x:c>
    </x:row>
    <x:row r="64" ht="64" customHeight="1">
      <x:c r="A64" s="23" t="str">
        <x:v>P2P-FILE-0056</x:v>
      </x:c>
      <x:c r="B64" s="22" t="str">
        <x:v>Dữ liệu LIVE &amp; model/vendor</x:v>
      </x:c>
      <x:c r="C64" s="22" t="str">
        <x:v>vendor_tier2</x:v>
      </x:c>
      <x:c r="D64" s="22" t="str">
        <x:v>8.4.6-C/for-chat/vendors/tier2.md</x:v>
      </x:c>
      <x:c r="E64" s="22"/>
      <x:c r="F64" s="23" t="str">
        <x:v>77202E54</x:v>
      </x:c>
      <x:c r="G64" s="23"/>
      <x:c r="H64" s="23" t="str">
        <x:f>IF($N$3&lt;&gt;"DONE","Chờ bản mới",IF(AND(D64="",E64=""),"",IF(D64="","Thêm mới",IF(E64="","Không còn",IF(AND(D64&lt;&gt;E64,F64=G64),"Đổi tên/di chuyển",IF(F64=G64,"Không đổi","Sửa nội dung"))))))</x:f>
        <x:v>Chờ bản mới</x:v>
      </x:c>
      <x:c r="I64" s="22" t="str">
        <x:v>Chờ phân tích khi có bản mới</x:v>
      </x:c>
      <x:c r="J64" s="22" t="str">
        <x:v>Giữ cả các file gốc trong source snapshot; runtime chỉ kích hoạt một bản canonical để tránh nạp kép. Snapshot chỉ là bằng chứng lịch sử; lớp LIVE mới phải có nguồn và ngày kiểm chứng.</x:v>
      </x:c>
      <x:c r="K64" s="22" t="str">
        <x:v>KEEP_SOURCE + DEDUP_RUNTIME + VERIFY_LIVE</x:v>
      </x:c>
      <x:c r="L64" s="22" t="str">
        <x:v>.agents/skills/p2p/references/legacy/live/tier2.md</x:v>
      </x:c>
      <x:c r="M64" s="22" t="str">
        <x:v>CRC nguồn khớp ZIP; chứng minh bản Codex canonical bao phủ cùng hành vi; không nạp kép.</x:v>
      </x:c>
      <x:c r="N64" s="22" t="str">
        <x:v>Chờ bản mới</x:v>
      </x:c>
      <x:c r="O64"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skills/p2p/references/live/vendor_tier2.md. Đích thực tế trong gói: .agents/skills/p2p/references/legacy/live/tier2.md. Bằng chứng: SOURCE_HASH_VERIFIED; FRESHNESS_GATE_REQUIRED.</x:v>
      </x:c>
    </x:row>
    <x:row r="65" ht="64" customHeight="1">
      <x:c r="A65" s="23" t="str">
        <x:v>P2P-FILE-0057</x:v>
      </x:c>
      <x:c r="B65" s="22" t="str">
        <x:v>Dữ liệu LIVE &amp; model/vendor</x:v>
      </x:c>
      <x:c r="C65" s="22" t="str">
        <x:v>vendor_tier3</x:v>
      </x:c>
      <x:c r="D65" s="22" t="str">
        <x:v>8.4.6-C/for-chat/vendors/tier3.md</x:v>
      </x:c>
      <x:c r="E65" s="22"/>
      <x:c r="F65" s="23" t="str">
        <x:v>3D524F4D</x:v>
      </x:c>
      <x:c r="G65" s="23"/>
      <x:c r="H65" s="23" t="str">
        <x:f>IF($N$3&lt;&gt;"DONE","Chờ bản mới",IF(AND(D65="",E65=""),"",IF(D65="","Thêm mới",IF(E65="","Không còn",IF(AND(D65&lt;&gt;E65,F65=G65),"Đổi tên/di chuyển",IF(F65=G65,"Không đổi","Sửa nội dung"))))))</x:f>
        <x:v>Chờ bản mới</x:v>
      </x:c>
      <x:c r="I65" s="22" t="str">
        <x:v>Chờ phân tích khi có bản mới</x:v>
      </x:c>
      <x:c r="J65" s="22" t="str">
        <x:v>Giữ cả các file gốc trong source snapshot; runtime chỉ kích hoạt một bản canonical để tránh nạp kép. Snapshot chỉ là bằng chứng lịch sử; lớp LIVE mới phải có nguồn và ngày kiểm chứng.</x:v>
      </x:c>
      <x:c r="K65" s="22" t="str">
        <x:v>KEEP_SOURCE + DEDUP_RUNTIME + VERIFY_LIVE</x:v>
      </x:c>
      <x:c r="L65" s="22" t="str">
        <x:v>.agents/skills/p2p/references/legacy/live/tier3.md</x:v>
      </x:c>
      <x:c r="M65" s="22" t="str">
        <x:v>CRC nguồn khớp ZIP; chứng minh bản Codex canonical bao phủ cùng hành vi; không nạp kép.</x:v>
      </x:c>
      <x:c r="N65" s="22" t="str">
        <x:v>Chờ bản mới</x:v>
      </x:c>
      <x:c r="O65"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skills/p2p/references/live/vendor_tier3.md. Đích thực tế trong gói: .agents/skills/p2p/references/legacy/live/tier3.md. Bằng chứng: SOURCE_HASH_VERIFIED; FRESHNESS_GATE_REQUIRED.</x:v>
      </x:c>
    </x:row>
    <x:row r="66" ht="64" customHeight="1">
      <x:c r="A66" s="23" t="str">
        <x:v>P2P-FILE-0058</x:v>
      </x:c>
      <x:c r="B66" s="22" t="str">
        <x:v>Dữ liệu LIVE &amp; model/vendor</x:v>
      </x:c>
      <x:c r="C66" s="22" t="str">
        <x:v>vendor_tier4</x:v>
      </x:c>
      <x:c r="D66" s="22" t="str">
        <x:v>8.4.6-C/for-chat/vendors/tier4.md</x:v>
      </x:c>
      <x:c r="E66" s="22"/>
      <x:c r="F66" s="23" t="str">
        <x:v>E2130F54</x:v>
      </x:c>
      <x:c r="G66" s="23"/>
      <x:c r="H66" s="23" t="str">
        <x:f>IF($N$3&lt;&gt;"DONE","Chờ bản mới",IF(AND(D66="",E66=""),"",IF(D66="","Thêm mới",IF(E66="","Không còn",IF(AND(D66&lt;&gt;E66,F66=G66),"Đổi tên/di chuyển",IF(F66=G66,"Không đổi","Sửa nội dung"))))))</x:f>
        <x:v>Chờ bản mới</x:v>
      </x:c>
      <x:c r="I66" s="22" t="str">
        <x:v>Chờ phân tích khi có bản mới</x:v>
      </x:c>
      <x:c r="J66" s="22" t="str">
        <x:v>Giữ cả các file gốc trong source snapshot; runtime chỉ kích hoạt một bản canonical để tránh nạp kép. Snapshot chỉ là bằng chứng lịch sử; lớp LIVE mới phải có nguồn và ngày kiểm chứng.</x:v>
      </x:c>
      <x:c r="K66" s="22" t="str">
        <x:v>KEEP_SOURCE + DEDUP_RUNTIME + VERIFY_LIVE</x:v>
      </x:c>
      <x:c r="L66" s="22" t="str">
        <x:v>.agents/skills/p2p/references/legacy/live/tier4.md</x:v>
      </x:c>
      <x:c r="M66" s="22" t="str">
        <x:v>CRC nguồn khớp ZIP; chứng minh bản Codex canonical bao phủ cùng hành vi; không nạp kép.</x:v>
      </x:c>
      <x:c r="N66" s="22" t="str">
        <x:v>Chờ bản mới</x:v>
      </x:c>
      <x:c r="O66" s="22" t="str">
        <x:v>Đây là hình thức phân phối Claude Chat; giữ đủ nhưng không kích hoạt song song với nguồn plugin. Tên model, giá, API và context có thể thay đổi; không coi snapshot là dữ liệu hiện hành. Đích đề xuất ban đầu: skills/p2p/references/live/vendor_tier4.md. Đích thực tế trong gói: .agents/skills/p2p/references/legacy/live/tier4.md. Bằng chứng: SOURCE_HASH_VERIFIED; FRESHNESS_GATE_REQUIRED.</x:v>
      </x:c>
    </x:row>
    <x:row r="67" ht="64" customHeight="1">
      <x:c r="A67" s="23" t="str">
        <x:v>P2P-FILE-0059</x:v>
      </x:c>
      <x:c r="B67" s="22" t="str">
        <x:v>Nền tảng &amp; đóng gói Codex</x:v>
      </x:c>
      <x:c r="C67" s="22" t="str">
        <x:v>plugin_manifest</x:v>
      </x:c>
      <x:c r="D67" s="22" t="str">
        <x:v>8.4.6-C/plugin/.claude-plugin/plugin.json</x:v>
      </x:c>
      <x:c r="E67" s="22"/>
      <x:c r="F67" s="23" t="str">
        <x:v>088B85B0</x:v>
      </x:c>
      <x:c r="G67" s="23"/>
      <x:c r="H67" s="23" t="str">
        <x:f>IF($N$3&lt;&gt;"DONE","Chờ bản mới",IF(AND(D67="",E67=""),"",IF(D67="","Thêm mới",IF(E67="","Không còn",IF(AND(D67&lt;&gt;E67,F67=G67),"Đổi tên/di chuyển",IF(F67=G67,"Không đổi","Sửa nội dung"))))))</x:f>
        <x:v>Chờ bản mới</x:v>
      </x:c>
      <x:c r="I67" s="22" t="str">
        <x:v>Chờ phân tích khi có bản mới</x:v>
      </x:c>
      <x:c r="J67" s="22" t="str">
        <x:v>Giữ nguyên byte trong source/8.4.6-C; bản Codex ghi đường dẫn nguồn và CRC. Mọi port được tạo ở file mới, không sửa mã nguồn snapshot.</x:v>
      </x:c>
      <x:c r="K67" s="22" t="str">
        <x:v>KEEP_SOURCE + REWRITE_NATIVE</x:v>
      </x:c>
      <x:c r="L67" s="22" t="str">
        <x:v>manifest/package.json</x:v>
      </x:c>
      <x:c r="M67" s="22" t="str">
        <x:v>Manifest plugin parse được; liệt kê đúng skill; cài thử trong môi trường sạch; không ghi đè file người dùng.</x:v>
      </x:c>
      <x:c r="N67" s="22" t="str">
        <x:v>Chờ bản mới</x:v>
      </x:c>
      <x:c r="O67" s="22" t="str">
        <x:v>Có giả định Claude/XML/model-specific; cần giữ ý nghĩa nhưng viết lại cơ chế cho Codex. Mô tả ghi 12 command nhưng ZIP có 13 file command (tính cả p2p.md); cần quyết định quy ước đếm. Đích đề xuất ban đầu: .codex-plugin/plugin.json. Đích thực tế trong gói: manifest/package.json. Bằng chứng: NATIVE_TARGET_PRESENT; STRUCTURAL_CHECK_PASS.</x:v>
      </x:c>
    </x:row>
    <x:row r="68" ht="64" customHeight="1">
      <x:c r="A68" s="23" t="str">
        <x:v>P2P-FILE-0060</x:v>
      </x:c>
      <x:c r="B68" s="22" t="str">
        <x:v>Nền tảng &amp; đóng gói Codex</x:v>
      </x:c>
      <x:c r="C68" s="22" t="str">
        <x:v>claude_rules</x:v>
      </x:c>
      <x:c r="D68" s="22" t="str">
        <x:v>8.4.6-C/plugin/.claude/CLAUDE.md</x:v>
      </x:c>
      <x:c r="E68" s="22"/>
      <x:c r="F68" s="23" t="str">
        <x:v>F286218A</x:v>
      </x:c>
      <x:c r="G68" s="23"/>
      <x:c r="H68" s="23" t="str">
        <x:f>IF($N$3&lt;&gt;"DONE","Chờ bản mới",IF(AND(D68="",E68=""),"",IF(D68="","Thêm mới",IF(E68="","Không còn",IF(AND(D68&lt;&gt;E68,F68=G68),"Đổi tên/di chuyển",IF(F68=G68,"Không đổi","Sửa nội dung"))))))</x:f>
        <x:v>Chờ bản mới</x:v>
      </x:c>
      <x:c r="I68" s="22" t="str">
        <x:v>Chờ phân tích khi có bản mới</x:v>
      </x:c>
      <x:c r="J68" s="22" t="str">
        <x:v>Giữ nguyên byte trong source/8.4.6-C; bản Codex ghi đường dẫn nguồn và CRC.</x:v>
      </x:c>
      <x:c r="K68" s="22" t="str">
        <x:v>KEEP_SOURCE + REWRITE_NATIVE</x:v>
      </x:c>
      <x:c r="L68" s="22" t="str">
        <x:v>AGENTS.md</x:v>
      </x:c>
      <x:c r="M68" s="22" t="str">
        <x:v>AGENTS.md ngắn, không vượt ngân sách hướng dẫn; thứ tự ưu tiên đúng; không chứa chỉ dẫn Claude lỗi thời.</x:v>
      </x:c>
      <x:c r="N68" s="22" t="str">
        <x:v>Chờ bản mới</x:v>
      </x:c>
      <x:c r="O68" s="22" t="str">
        <x:v>Có giả định Claude/XML/model-specific; cần giữ ý nghĩa nhưng viết lại cơ chế cho Codex. Bằng chứng: NATIVE_TARGET_PRESENT; STRUCTURAL_CHECK_PASS.</x:v>
      </x:c>
    </x:row>
    <x:row r="69" ht="64" customHeight="1">
      <x:c r="A69" s="23" t="str">
        <x:v>P2P-FILE-0061</x:v>
      </x:c>
      <x:c r="B69" s="22" t="str">
        <x:v>QUORUM &amp; đa agent</x:v>
      </x:c>
      <x:c r="C69" s="22" t="str">
        <x:v>p2p-anon</x:v>
      </x:c>
      <x:c r="D69" s="22" t="str">
        <x:v>8.4.6-C/plugin/.claude/agents/p2p-anon.md</x:v>
      </x:c>
      <x:c r="E69" s="22"/>
      <x:c r="F69" s="23" t="str">
        <x:v>5BA3F99D</x:v>
      </x:c>
      <x:c r="G69" s="23"/>
      <x:c r="H69" s="23" t="str">
        <x:f>IF($N$3&lt;&gt;"DONE","Chờ bản mới",IF(AND(D69="",E69=""),"",IF(D69="","Thêm mới",IF(E69="","Không còn",IF(AND(D69&lt;&gt;E69,F69=G69),"Đổi tên/di chuyển",IF(F69=G69,"Không đổi","Sửa nội dung"))))))</x:f>
        <x:v>Chờ bản mới</x:v>
      </x:c>
      <x:c r="I69" s="22" t="str">
        <x:v>Chờ phân tích khi có bản mới</x:v>
      </x:c>
      <x:c r="J69" s="22" t="str">
        <x:v>Giữ nguyên byte trong source/8.4.6-C; bản Codex ghi đường dẫn nguồn và CRC.</x:v>
      </x:c>
      <x:c r="K69" s="22" t="str">
        <x:v>KEEP_SOURCE + REWRITE_NATIVE + PARITY_TEST</x:v>
      </x:c>
      <x:c r="L69" s="22" t="str">
        <x:v>.codex/agents/p2p-anon.toml</x:v>
      </x:c>
      <x:c r="M69" s="22" t="str">
        <x:v>TOML parse đạt; còn phải chạy đúng profile trong Codex host và thấy thread riêng bằng UI hoặc /agent.</x:v>
      </x:c>
      <x:c r="N69" s="22" t="str">
        <x:v>Chờ bản mới</x:v>
      </x:c>
      <x:c r="O69" s="22" t="str">
        <x:v>Sandbox của agent con không nên được hứa tuyệt đối; quyền phiên cha và cấu hình thực tế phải được kiểm tra. Bằng chứng: TOML_PARSE_PASS; REAL_THREAD_RUNTIME_NOT_EXECUTED.</x:v>
      </x:c>
    </x:row>
    <x:row r="70" ht="64" customHeight="1">
      <x:c r="A70" s="23" t="str">
        <x:v>P2P-FILE-0062</x:v>
      </x:c>
      <x:c r="B70" s="22" t="str">
        <x:v>QUORUM &amp; đa agent</x:v>
      </x:c>
      <x:c r="C70" s="22" t="str">
        <x:v>p2p-architecton</x:v>
      </x:c>
      <x:c r="D70" s="22" t="str">
        <x:v>8.4.6-C/plugin/.claude/agents/p2p-architecton.md</x:v>
      </x:c>
      <x:c r="E70" s="22"/>
      <x:c r="F70" s="23" t="str">
        <x:v>E02A1912</x:v>
      </x:c>
      <x:c r="G70" s="23"/>
      <x:c r="H70" s="23" t="str">
        <x:f>IF($N$3&lt;&gt;"DONE","Chờ bản mới",IF(AND(D70="",E70=""),"",IF(D70="","Thêm mới",IF(E70="","Không còn",IF(AND(D70&lt;&gt;E70,F70=G70),"Đổi tên/di chuyển",IF(F70=G70,"Không đổi","Sửa nội dung"))))))</x:f>
        <x:v>Chờ bản mới</x:v>
      </x:c>
      <x:c r="I70" s="22" t="str">
        <x:v>Chờ phân tích khi có bản mới</x:v>
      </x:c>
      <x:c r="J70" s="22" t="str">
        <x:v>Giữ nguyên byte trong source/8.4.6-C; bản Codex ghi đường dẫn nguồn và CRC.</x:v>
      </x:c>
      <x:c r="K70" s="22" t="str">
        <x:v>KEEP_SOURCE + REWRITE_NATIVE + PARITY_TEST</x:v>
      </x:c>
      <x:c r="L70" s="22" t="str">
        <x:v>.codex/agents/p2p-architecton.toml</x:v>
      </x:c>
      <x:c r="M70" s="22" t="str">
        <x:v>TOML parse đạt; còn phải chạy đúng profile trong Codex host và thấy thread riêng bằng UI hoặc /agent.</x:v>
      </x:c>
      <x:c r="N70" s="22" t="str">
        <x:v>Chờ bản mới</x:v>
      </x:c>
      <x:c r="O70" s="22" t="str">
        <x:v>Sandbox của agent con không nên được hứa tuyệt đối; quyền phiên cha và cấu hình thực tế phải được kiểm tra. Bằng chứng: TOML_PARSE_PASS; REAL_THREAD_RUNTIME_NOT_EXECUTED.</x:v>
      </x:c>
    </x:row>
    <x:row r="71" ht="64" customHeight="1">
      <x:c r="A71" s="23" t="str">
        <x:v>P2P-FILE-0063</x:v>
      </x:c>
      <x:c r="B71" s="22" t="str">
        <x:v>QUORUM &amp; đa agent</x:v>
      </x:c>
      <x:c r="C71" s="22" t="str">
        <x:v>p2p-axiom</x:v>
      </x:c>
      <x:c r="D71" s="22" t="str">
        <x:v>8.4.6-C/plugin/.claude/agents/p2p-axiom.md</x:v>
      </x:c>
      <x:c r="E71" s="22"/>
      <x:c r="F71" s="23" t="str">
        <x:v>C6FA3ABA</x:v>
      </x:c>
      <x:c r="G71" s="23"/>
      <x:c r="H71" s="23" t="str">
        <x:f>IF($N$3&lt;&gt;"DONE","Chờ bản mới",IF(AND(D71="",E71=""),"",IF(D71="","Thêm mới",IF(E71="","Không còn",IF(AND(D71&lt;&gt;E71,F71=G71),"Đổi tên/di chuyển",IF(F71=G71,"Không đổi","Sửa nội dung"))))))</x:f>
        <x:v>Chờ bản mới</x:v>
      </x:c>
      <x:c r="I71" s="22" t="str">
        <x:v>Chờ phân tích khi có bản mới</x:v>
      </x:c>
      <x:c r="J71" s="22" t="str">
        <x:v>Giữ nguyên byte trong source/8.4.6-C; bản Codex ghi đường dẫn nguồn và CRC.</x:v>
      </x:c>
      <x:c r="K71" s="22" t="str">
        <x:v>KEEP_SOURCE + REWRITE_NATIVE + PARITY_TEST</x:v>
      </x:c>
      <x:c r="L71" s="22" t="str">
        <x:v>.codex/agents/p2p-axiom.toml</x:v>
      </x:c>
      <x:c r="M71" s="22" t="str">
        <x:v>TOML parse đạt; còn phải chạy đúng profile trong Codex host và thấy thread riêng bằng UI hoặc /agent.</x:v>
      </x:c>
      <x:c r="N71" s="22" t="str">
        <x:v>Chờ bản mới</x:v>
      </x:c>
      <x:c r="O71" s="22" t="str">
        <x:v>Sandbox của agent con không nên được hứa tuyệt đối; quyền phiên cha và cấu hình thực tế phải được kiểm tra. Bằng chứng: TOML_PARSE_PASS; REAL_THREAD_RUNTIME_NOT_EXECUTED.</x:v>
      </x:c>
    </x:row>
    <x:row r="72" ht="64" customHeight="1">
      <x:c r="A72" s="23" t="str">
        <x:v>P2P-FILE-0064</x:v>
      </x:c>
      <x:c r="B72" s="22" t="str">
        <x:v>QUORUM &amp; đa agent</x:v>
      </x:c>
      <x:c r="C72" s="22" t="str">
        <x:v>p2p-datos</x:v>
      </x:c>
      <x:c r="D72" s="22" t="str">
        <x:v>8.4.6-C/plugin/.claude/agents/p2p-datos.md</x:v>
      </x:c>
      <x:c r="E72" s="22"/>
      <x:c r="F72" s="23" t="str">
        <x:v>E8852A88</x:v>
      </x:c>
      <x:c r="G72" s="23"/>
      <x:c r="H72" s="23" t="str">
        <x:f>IF($N$3&lt;&gt;"DONE","Chờ bản mới",IF(AND(D72="",E72=""),"",IF(D72="","Thêm mới",IF(E72="","Không còn",IF(AND(D72&lt;&gt;E72,F72=G72),"Đổi tên/di chuyển",IF(F72=G72,"Không đổi","Sửa nội dung"))))))</x:f>
        <x:v>Chờ bản mới</x:v>
      </x:c>
      <x:c r="I72" s="22" t="str">
        <x:v>Chờ phân tích khi có bản mới</x:v>
      </x:c>
      <x:c r="J72" s="22" t="str">
        <x:v>Giữ nguyên byte trong source/8.4.6-C; bản Codex ghi đường dẫn nguồn và CRC.</x:v>
      </x:c>
      <x:c r="K72" s="22" t="str">
        <x:v>KEEP_SOURCE + REWRITE_NATIVE + PARITY_TEST</x:v>
      </x:c>
      <x:c r="L72" s="22" t="str">
        <x:v>.codex/agents/p2p-datos.toml</x:v>
      </x:c>
      <x:c r="M72" s="22" t="str">
        <x:v>TOML parse đạt; còn phải chạy đúng profile trong Codex host và thấy thread riêng bằng UI hoặc /agent.</x:v>
      </x:c>
      <x:c r="N72" s="22" t="str">
        <x:v>Chờ bản mới</x:v>
      </x:c>
      <x:c r="O72" s="22" t="str">
        <x:v>Sandbox của agent con không nên được hứa tuyệt đối; quyền phiên cha và cấu hình thực tế phải được kiểm tra. Bằng chứng: TOML_PARSE_PASS; REAL_THREAD_RUNTIME_NOT_EXECUTED.</x:v>
      </x:c>
    </x:row>
    <x:row r="73" ht="64" customHeight="1">
      <x:c r="A73" s="23" t="str">
        <x:v>P2P-FILE-0065</x:v>
      </x:c>
      <x:c r="B73" s="22" t="str">
        <x:v>QUORUM &amp; đa agent</x:v>
      </x:c>
      <x:c r="C73" s="22" t="str">
        <x:v>p2p-helios</x:v>
      </x:c>
      <x:c r="D73" s="22" t="str">
        <x:v>8.4.6-C/plugin/.claude/agents/p2p-helios.md</x:v>
      </x:c>
      <x:c r="E73" s="22"/>
      <x:c r="F73" s="23" t="str">
        <x:v>C625C729</x:v>
      </x:c>
      <x:c r="G73" s="23"/>
      <x:c r="H73" s="23" t="str">
        <x:f>IF($N$3&lt;&gt;"DONE","Chờ bản mới",IF(AND(D73="",E73=""),"",IF(D73="","Thêm mới",IF(E73="","Không còn",IF(AND(D73&lt;&gt;E73,F73=G73),"Đổi tên/di chuyển",IF(F73=G73,"Không đổi","Sửa nội dung"))))))</x:f>
        <x:v>Chờ bản mới</x:v>
      </x:c>
      <x:c r="I73" s="22" t="str">
        <x:v>Chờ phân tích khi có bản mới</x:v>
      </x:c>
      <x:c r="J73" s="22" t="str">
        <x:v>Giữ nguyên byte trong source/8.4.6-C; bản Codex ghi đường dẫn nguồn và CRC.</x:v>
      </x:c>
      <x:c r="K73" s="22" t="str">
        <x:v>KEEP_SOURCE + REWRITE_NATIVE + PARITY_TEST</x:v>
      </x:c>
      <x:c r="L73" s="22" t="str">
        <x:v>.codex/agents/p2p-helios.toml</x:v>
      </x:c>
      <x:c r="M73" s="22" t="str">
        <x:v>TOML parse đạt; còn phải chạy đúng profile trong Codex host và thấy thread riêng bằng UI hoặc /agent.</x:v>
      </x:c>
      <x:c r="N73" s="22" t="str">
        <x:v>Chờ bản mới</x:v>
      </x:c>
      <x:c r="O73" s="22" t="str">
        <x:v>Sandbox của agent con không nên được hứa tuyệt đối; quyền phiên cha và cấu hình thực tế phải được kiểm tra. Bằng chứng: TOML_PARSE_PASS; REAL_THREAD_RUNTIME_NOT_EXECUTED.</x:v>
      </x:c>
    </x:row>
    <x:row r="74" ht="64" customHeight="1">
      <x:c r="A74" s="23" t="str">
        <x:v>P2P-FILE-0066</x:v>
      </x:c>
      <x:c r="B74" s="22" t="str">
        <x:v>QUORUM &amp; đa agent</x:v>
      </x:c>
      <x:c r="C74" s="22" t="str">
        <x:v>p2p-iris</x:v>
      </x:c>
      <x:c r="D74" s="22" t="str">
        <x:v>8.4.6-C/plugin/.claude/agents/p2p-iris.md</x:v>
      </x:c>
      <x:c r="E74" s="22"/>
      <x:c r="F74" s="23" t="str">
        <x:v>C3785CA5</x:v>
      </x:c>
      <x:c r="G74" s="23"/>
      <x:c r="H74" s="23" t="str">
        <x:f>IF($N$3&lt;&gt;"DONE","Chờ bản mới",IF(AND(D74="",E74=""),"",IF(D74="","Thêm mới",IF(E74="","Không còn",IF(AND(D74&lt;&gt;E74,F74=G74),"Đổi tên/di chuyển",IF(F74=G74,"Không đổi","Sửa nội dung"))))))</x:f>
        <x:v>Chờ bản mới</x:v>
      </x:c>
      <x:c r="I74" s="22" t="str">
        <x:v>Chờ phân tích khi có bản mới</x:v>
      </x:c>
      <x:c r="J74" s="22" t="str">
        <x:v>Giữ nguyên byte trong source/8.4.6-C; bản Codex ghi đường dẫn nguồn và CRC.</x:v>
      </x:c>
      <x:c r="K74" s="22" t="str">
        <x:v>KEEP_SOURCE + REWRITE_NATIVE + PARITY_TEST</x:v>
      </x:c>
      <x:c r="L74" s="22" t="str">
        <x:v>.codex/agents/p2p-iris.toml</x:v>
      </x:c>
      <x:c r="M74" s="22" t="str">
        <x:v>TOML parse đạt; còn phải chạy đúng profile trong Codex host và thấy thread riêng bằng UI hoặc /agent.</x:v>
      </x:c>
      <x:c r="N74" s="22" t="str">
        <x:v>Chờ bản mới</x:v>
      </x:c>
      <x:c r="O74" s="22" t="str">
        <x:v>Sandbox của agent con không nên được hứa tuyệt đối; quyền phiên cha và cấu hình thực tế phải được kiểm tra. Bằng chứng: TOML_PARSE_PASS; REAL_THREAD_RUNTIME_NOT_EXECUTED.</x:v>
      </x:c>
    </x:row>
    <x:row r="75" ht="64" customHeight="1">
      <x:c r="A75" s="23" t="str">
        <x:v>P2P-FILE-0067</x:v>
      </x:c>
      <x:c r="B75" s="22" t="str">
        <x:v>QUORUM &amp; đa agent</x:v>
      </x:c>
      <x:c r="C75" s="22" t="str">
        <x:v>p2p-tecton</x:v>
      </x:c>
      <x:c r="D75" s="22" t="str">
        <x:v>8.4.6-C/plugin/.claude/agents/p2p-tecton.md</x:v>
      </x:c>
      <x:c r="E75" s="22"/>
      <x:c r="F75" s="23" t="str">
        <x:v>DD55628B</x:v>
      </x:c>
      <x:c r="G75" s="23"/>
      <x:c r="H75" s="23" t="str">
        <x:f>IF($N$3&lt;&gt;"DONE","Chờ bản mới",IF(AND(D75="",E75=""),"",IF(D75="","Thêm mới",IF(E75="","Không còn",IF(AND(D75&lt;&gt;E75,F75=G75),"Đổi tên/di chuyển",IF(F75=G75,"Không đổi","Sửa nội dung"))))))</x:f>
        <x:v>Chờ bản mới</x:v>
      </x:c>
      <x:c r="I75" s="22" t="str">
        <x:v>Chờ phân tích khi có bản mới</x:v>
      </x:c>
      <x:c r="J75" s="22" t="str">
        <x:v>Giữ nguyên byte trong source/8.4.6-C; bản Codex ghi đường dẫn nguồn và CRC.</x:v>
      </x:c>
      <x:c r="K75" s="22" t="str">
        <x:v>KEEP_SOURCE + REWRITE_NATIVE + PARITY_TEST</x:v>
      </x:c>
      <x:c r="L75" s="22" t="str">
        <x:v>.codex/agents/p2p-tecton.toml</x:v>
      </x:c>
      <x:c r="M75" s="22" t="str">
        <x:v>TOML parse đạt; còn phải chạy đúng profile trong Codex host và thấy thread riêng bằng UI hoặc /agent.</x:v>
      </x:c>
      <x:c r="N75" s="22" t="str">
        <x:v>Chờ bản mới</x:v>
      </x:c>
      <x:c r="O75" s="22" t="str">
        <x:v>Sandbox của agent con không nên được hứa tuyệt đối; quyền phiên cha và cấu hình thực tế phải được kiểm tra. Bằng chứng: TOML_PARSE_PASS; REAL_THREAD_RUNTIME_NOT_EXECUTED.</x:v>
      </x:c>
    </x:row>
    <x:row r="76" ht="64" customHeight="1">
      <x:c r="A76" s="23" t="str">
        <x:v>P2P-FILE-0068</x:v>
      </x:c>
      <x:c r="B76" s="22" t="str">
        <x:v>QUORUM &amp; đa agent</x:v>
      </x:c>
      <x:c r="C76" s="22" t="str">
        <x:v>p2p-vector</x:v>
      </x:c>
      <x:c r="D76" s="22" t="str">
        <x:v>8.4.6-C/plugin/.claude/agents/p2p-vector.md</x:v>
      </x:c>
      <x:c r="E76" s="22"/>
      <x:c r="F76" s="23" t="str">
        <x:v>D5D4FF7D</x:v>
      </x:c>
      <x:c r="G76" s="23"/>
      <x:c r="H76" s="23" t="str">
        <x:f>IF($N$3&lt;&gt;"DONE","Chờ bản mới",IF(AND(D76="",E76=""),"",IF(D76="","Thêm mới",IF(E76="","Không còn",IF(AND(D76&lt;&gt;E76,F76=G76),"Đổi tên/di chuyển",IF(F76=G76,"Không đổi","Sửa nội dung"))))))</x:f>
        <x:v>Chờ bản mới</x:v>
      </x:c>
      <x:c r="I76" s="22" t="str">
        <x:v>Chờ phân tích khi có bản mới</x:v>
      </x:c>
      <x:c r="J76" s="22" t="str">
        <x:v>Giữ nguyên byte trong source/8.4.6-C; bản Codex ghi đường dẫn nguồn và CRC.</x:v>
      </x:c>
      <x:c r="K76" s="22" t="str">
        <x:v>KEEP_SOURCE + REWRITE_NATIVE + PARITY_TEST</x:v>
      </x:c>
      <x:c r="L76" s="22" t="str">
        <x:v>.codex/agents/p2p-vector.toml</x:v>
      </x:c>
      <x:c r="M76" s="22" t="str">
        <x:v>TOML parse đạt; còn phải chạy đúng profile trong Codex host và thấy thread riêng bằng UI hoặc /agent.</x:v>
      </x:c>
      <x:c r="N76" s="22" t="str">
        <x:v>Chờ bản mới</x:v>
      </x:c>
      <x:c r="O76" s="22" t="str">
        <x:v>Sandbox của agent con không nên được hứa tuyệt đối; quyền phiên cha và cấu hình thực tế phải được kiểm tra. Bằng chứng: TOML_PARSE_PASS; REAL_THREAD_RUNTIME_NOT_EXECUTED.</x:v>
      </x:c>
    </x:row>
    <x:row r="77" ht="64" customHeight="1">
      <x:c r="A77" s="23" t="str">
        <x:v>P2P-FILE-0069</x:v>
      </x:c>
      <x:c r="B77" s="22" t="str">
        <x:v>Lệnh &amp; trải nghiệm gọi</x:v>
      </x:c>
      <x:c r="C77" s="22" t="str">
        <x:v>p2p-atlas</x:v>
      </x:c>
      <x:c r="D77" s="22" t="str">
        <x:v>8.4.6-C/plugin/.claude/commands/p2p-atlas.md</x:v>
      </x:c>
      <x:c r="E77" s="22"/>
      <x:c r="F77" s="23" t="str">
        <x:v>F84AB5A4</x:v>
      </x:c>
      <x:c r="G77" s="23"/>
      <x:c r="H77" s="23" t="str">
        <x:f>IF($N$3&lt;&gt;"DONE","Chờ bản mới",IF(AND(D77="",E77=""),"",IF(D77="","Thêm mới",IF(E77="","Không còn",IF(AND(D77&lt;&gt;E77,F77=G77),"Đổi tên/di chuyển",IF(F77=G77,"Không đổi","Sửa nội dung"))))))</x:f>
        <x:v>Chờ bản mới</x:v>
      </x:c>
      <x:c r="I77" s="22" t="str">
        <x:v>Chờ phân tích khi có bản mới</x:v>
      </x:c>
      <x:c r="J77" s="22" t="str">
        <x:v>Giữ nguyên byte trong source/8.4.6-C; bản Codex ghi đường dẫn nguồn và CRC.</x:v>
      </x:c>
      <x:c r="K77" s="22" t="str">
        <x:v>KEEP_SOURCE + CONVERT_TO_SKILL</x:v>
      </x:c>
      <x:c r="L77" s="22" t="str">
        <x:v>.agents/skills/p2p-atlas/SKILL.md</x:v>
      </x:c>
      <x:c r="M77" s="22" t="str">
        <x:v>SKILL.md hợp lệ; gọi $skill đúng; trigger tự động không quá rộng; 3 ca đơn giản/trung bình/đối kháng đạt parity.</x:v>
      </x:c>
      <x:c r="N77" s="22" t="str">
        <x:v>Chờ bản mới</x:v>
      </x:c>
      <x:c r="O77" s="22" t="str">
        <x:v>Không thấy rủi ro riêng ngoài yêu cầu parity và truy vết nguồn. Đích đề xuất ban đầu: skills/p2p-atlas/SKILL.md. Đích thực tế trong gói: .agents/skills/p2p-atlas/SKILL.md. Bằng chứng: TARGET_PRESENT; SKILL_VALIDATOR_PASS.</x:v>
      </x:c>
    </x:row>
    <x:row r="78" ht="64" customHeight="1">
      <x:c r="A78" s="23" t="str">
        <x:v>P2P-FILE-0070</x:v>
      </x:c>
      <x:c r="B78" s="22" t="str">
        <x:v>Lệnh &amp; trải nghiệm gọi</x:v>
      </x:c>
      <x:c r="C78" s="22" t="str">
        <x:v>p2p-capsule</x:v>
      </x:c>
      <x:c r="D78" s="22" t="str">
        <x:v>8.4.6-C/plugin/.claude/commands/p2p-capsule.md</x:v>
      </x:c>
      <x:c r="E78" s="22"/>
      <x:c r="F78" s="23" t="str">
        <x:v>7C030B7B</x:v>
      </x:c>
      <x:c r="G78" s="23"/>
      <x:c r="H78" s="23" t="str">
        <x:f>IF($N$3&lt;&gt;"DONE","Chờ bản mới",IF(AND(D78="",E78=""),"",IF(D78="","Thêm mới",IF(E78="","Không còn",IF(AND(D78&lt;&gt;E78,F78=G78),"Đổi tên/di chuyển",IF(F78=G78,"Không đổi","Sửa nội dung"))))))</x:f>
        <x:v>Chờ bản mới</x:v>
      </x:c>
      <x:c r="I78" s="22" t="str">
        <x:v>Chờ phân tích khi có bản mới</x:v>
      </x:c>
      <x:c r="J78" s="22" t="str">
        <x:v>Giữ nguyên byte trong source/8.4.6-C; bản Codex ghi đường dẫn nguồn và CRC.</x:v>
      </x:c>
      <x:c r="K78" s="22" t="str">
        <x:v>KEEP_SOURCE + CONVERT_TO_SKILL</x:v>
      </x:c>
      <x:c r="L78" s="22" t="str">
        <x:v>.agents/skills/p2p-capsule/SKILL.md</x:v>
      </x:c>
      <x:c r="M78" s="22" t="str">
        <x:v>SKILL.md hợp lệ; gọi $skill đúng; trigger tự động không quá rộng; 3 ca đơn giản/trung bình/đối kháng đạt parity.</x:v>
      </x:c>
      <x:c r="N78" s="22" t="str">
        <x:v>Chờ bản mới</x:v>
      </x:c>
      <x:c r="O78" s="22" t="str">
        <x:v>Không thấy rủi ro riêng ngoài yêu cầu parity và truy vết nguồn. Đích đề xuất ban đầu: skills/p2p-capsule/SKILL.md. Đích thực tế trong gói: .agents/skills/p2p-capsule/SKILL.md. Bằng chứng: TARGET_PRESENT; SKILL_VALIDATOR_PASS.</x:v>
      </x:c>
    </x:row>
    <x:row r="79" ht="64" customHeight="1">
      <x:c r="A79" s="23" t="str">
        <x:v>P2P-FILE-0071</x:v>
      </x:c>
      <x:c r="B79" s="22" t="str">
        <x:v>Lệnh &amp; trải nghiệm gọi</x:v>
      </x:c>
      <x:c r="C79" s="22" t="str">
        <x:v>p2p-chain</x:v>
      </x:c>
      <x:c r="D79" s="22" t="str">
        <x:v>8.4.6-C/plugin/.claude/commands/p2p-chain.md</x:v>
      </x:c>
      <x:c r="E79" s="22"/>
      <x:c r="F79" s="23" t="str">
        <x:v>1DD058F4</x:v>
      </x:c>
      <x:c r="G79" s="23"/>
      <x:c r="H79" s="23" t="str">
        <x:f>IF($N$3&lt;&gt;"DONE","Chờ bản mới",IF(AND(D79="",E79=""),"",IF(D79="","Thêm mới",IF(E79="","Không còn",IF(AND(D79&lt;&gt;E79,F79=G79),"Đổi tên/di chuyển",IF(F79=G79,"Không đổi","Sửa nội dung"))))))</x:f>
        <x:v>Chờ bản mới</x:v>
      </x:c>
      <x:c r="I79" s="22" t="str">
        <x:v>Chờ phân tích khi có bản mới</x:v>
      </x:c>
      <x:c r="J79" s="22" t="str">
        <x:v>Giữ nguyên byte trong source/8.4.6-C; bản Codex ghi đường dẫn nguồn và CRC.</x:v>
      </x:c>
      <x:c r="K79" s="22" t="str">
        <x:v>KEEP_SOURCE + CONVERT_TO_SKILL</x:v>
      </x:c>
      <x:c r="L79" s="22" t="str">
        <x:v>.agents/skills/p2p-chain/SKILL.md</x:v>
      </x:c>
      <x:c r="M79" s="22" t="str">
        <x:v>SKILL.md hợp lệ; gọi $skill đúng; trigger tự động không quá rộng; 3 ca đơn giản/trung bình/đối kháng đạt parity.</x:v>
      </x:c>
      <x:c r="N79" s="22" t="str">
        <x:v>Chờ bản mới</x:v>
      </x:c>
      <x:c r="O79" s="22" t="str">
        <x:v>Không thấy rủi ro riêng ngoài yêu cầu parity và truy vết nguồn. Đích đề xuất ban đầu: skills/p2p-chain/SKILL.md. Đích thực tế trong gói: .agents/skills/p2p-chain/SKILL.md. Bằng chứng: TARGET_PRESENT; SKILL_VALIDATOR_PASS.</x:v>
      </x:c>
    </x:row>
    <x:row r="80" ht="64" customHeight="1">
      <x:c r="A80" s="23" t="str">
        <x:v>P2P-FILE-0072</x:v>
      </x:c>
      <x:c r="B80" s="22" t="str">
        <x:v>Lệnh &amp; trải nghiệm gọi</x:v>
      </x:c>
      <x:c r="C80" s="22" t="str">
        <x:v>p2p-download</x:v>
      </x:c>
      <x:c r="D80" s="22" t="str">
        <x:v>8.4.6-C/plugin/.claude/commands/p2p-download.md</x:v>
      </x:c>
      <x:c r="E80" s="22"/>
      <x:c r="F80" s="23" t="str">
        <x:v>14FA54EC</x:v>
      </x:c>
      <x:c r="G80" s="23"/>
      <x:c r="H80" s="23" t="str">
        <x:f>IF($N$3&lt;&gt;"DONE","Chờ bản mới",IF(AND(D80="",E80=""),"",IF(D80="","Thêm mới",IF(E80="","Không còn",IF(AND(D80&lt;&gt;E80,F80=G80),"Đổi tên/di chuyển",IF(F80=G80,"Không đổi","Sửa nội dung"))))))</x:f>
        <x:v>Chờ bản mới</x:v>
      </x:c>
      <x:c r="I80" s="22" t="str">
        <x:v>Chờ phân tích khi có bản mới</x:v>
      </x:c>
      <x:c r="J80" s="22" t="str">
        <x:v>Giữ nguyên byte trong source/8.4.6-C; bản Codex ghi đường dẫn nguồn và CRC.</x:v>
      </x:c>
      <x:c r="K80" s="22" t="str">
        <x:v>KEEP_SOURCE + CONVERT_TO_SKILL + SECURITY_REVIEW</x:v>
      </x:c>
      <x:c r="L80" s="22" t="str">
        <x:v>.agents/skills/p2p-download/SKILL.md</x:v>
      </x:c>
      <x:c r="M80" s="22" t="str">
        <x:v>SKILL.md hợp lệ; gọi $skill đúng; trigger tự động không quá rộng; 3 ca đơn giản/trung bình/đối kháng đạt parity.</x:v>
      </x:c>
      <x:c r="N80" s="22" t="str">
        <x:v>Chờ bản mới</x:v>
      </x:c>
      <x:c r="O80" s="22" t="str">
        <x:v>Có truy cập mạng và cập nhật dữ liệu; phải xác minh URL, chữ ký/checksum và xin phép trước khi ghi. Đích đề xuất ban đầu: skills/p2p-download/SKILL.md. Đích thực tế trong gói: .agents/skills/p2p-download/SKILL.md. Bằng chứng: TARGET_PRESENT; SKILL_VALIDATOR_PASS.</x:v>
      </x:c>
    </x:row>
    <x:row r="81" ht="64" customHeight="1">
      <x:c r="A81" s="23" t="str">
        <x:v>P2P-FILE-0073</x:v>
      </x:c>
      <x:c r="B81" s="22" t="str">
        <x:v>Lệnh &amp; trải nghiệm gọi</x:v>
      </x:c>
      <x:c r="C81" s="22" t="str">
        <x:v>p2p-explore</x:v>
      </x:c>
      <x:c r="D81" s="22" t="str">
        <x:v>8.4.6-C/plugin/.claude/commands/p2p-explore.md</x:v>
      </x:c>
      <x:c r="E81" s="22"/>
      <x:c r="F81" s="23" t="str">
        <x:v>F6223CCB</x:v>
      </x:c>
      <x:c r="G81" s="23"/>
      <x:c r="H81" s="23" t="str">
        <x:f>IF($N$3&lt;&gt;"DONE","Chờ bản mới",IF(AND(D81="",E81=""),"",IF(D81="","Thêm mới",IF(E81="","Không còn",IF(AND(D81&lt;&gt;E81,F81=G81),"Đổi tên/di chuyển",IF(F81=G81,"Không đổi","Sửa nội dung"))))))</x:f>
        <x:v>Chờ bản mới</x:v>
      </x:c>
      <x:c r="I81" s="22" t="str">
        <x:v>Chờ phân tích khi có bản mới</x:v>
      </x:c>
      <x:c r="J81" s="22" t="str">
        <x:v>Giữ nguyên byte trong source/8.4.6-C; bản Codex ghi đường dẫn nguồn và CRC.</x:v>
      </x:c>
      <x:c r="K81" s="22" t="str">
        <x:v>KEEP_SOURCE + CONVERT_TO_SKILL</x:v>
      </x:c>
      <x:c r="L81" s="22" t="str">
        <x:v>.agents/skills/p2p-explore/SKILL.md</x:v>
      </x:c>
      <x:c r="M81" s="22" t="str">
        <x:v>SKILL.md hợp lệ; gọi $skill đúng; trigger tự động không quá rộng; 3 ca đơn giản/trung bình/đối kháng đạt parity.</x:v>
      </x:c>
      <x:c r="N81" s="22" t="str">
        <x:v>Chờ bản mới</x:v>
      </x:c>
      <x:c r="O81" s="22" t="str">
        <x:v>Không thấy rủi ro riêng ngoài yêu cầu parity và truy vết nguồn. Đích đề xuất ban đầu: skills/p2p-explore/SKILL.md. Đích thực tế trong gói: .agents/skills/p2p-explore/SKILL.md. Bằng chứng: TARGET_PRESENT; SKILL_VALIDATOR_PASS.</x:v>
      </x:c>
    </x:row>
    <x:row r="82" ht="64" customHeight="1">
      <x:c r="A82" s="23" t="str">
        <x:v>P2P-FILE-0074</x:v>
      </x:c>
      <x:c r="B82" s="22" t="str">
        <x:v>Lệnh &amp; trải nghiệm gọi</x:v>
      </x:c>
      <x:c r="C82" s="22" t="str">
        <x:v>p2p-feedback</x:v>
      </x:c>
      <x:c r="D82" s="22" t="str">
        <x:v>8.4.6-C/plugin/.claude/commands/p2p-feedback.md</x:v>
      </x:c>
      <x:c r="E82" s="22"/>
      <x:c r="F82" s="23" t="str">
        <x:v>47B83087</x:v>
      </x:c>
      <x:c r="G82" s="23"/>
      <x:c r="H82" s="23" t="str">
        <x:f>IF($N$3&lt;&gt;"DONE","Chờ bản mới",IF(AND(D82="",E82=""),"",IF(D82="","Thêm mới",IF(E82="","Không còn",IF(AND(D82&lt;&gt;E82,F82=G82),"Đổi tên/di chuyển",IF(F82=G82,"Không đổi","Sửa nội dung"))))))</x:f>
        <x:v>Chờ bản mới</x:v>
      </x:c>
      <x:c r="I82" s="22" t="str">
        <x:v>Chờ phân tích khi có bản mới</x:v>
      </x:c>
      <x:c r="J82" s="22" t="str">
        <x:v>Giữ nguyên byte trong source/8.4.6-C; bản Codex ghi đường dẫn nguồn và CRC.</x:v>
      </x:c>
      <x:c r="K82" s="22" t="str">
        <x:v>KEEP_SOURCE + CONVERT_TO_SKILL</x:v>
      </x:c>
      <x:c r="L82" s="22" t="str">
        <x:v>.agents/skills/p2p-feedback/SKILL.md</x:v>
      </x:c>
      <x:c r="M82" s="22" t="str">
        <x:v>SKILL.md hợp lệ; gọi $skill đúng; trigger tự động không quá rộng; 3 ca đơn giản/trung bình/đối kháng đạt parity.</x:v>
      </x:c>
      <x:c r="N82" s="22" t="str">
        <x:v>Chờ bản mới</x:v>
      </x:c>
      <x:c r="O82" s="22" t="str">
        <x:v>Không thấy rủi ro riêng ngoài yêu cầu parity và truy vết nguồn. Đích đề xuất ban đầu: skills/p2p-feedback/SKILL.md. Đích thực tế trong gói: .agents/skills/p2p-feedback/SKILL.md. Bằng chứng: TARGET_PRESENT; SKILL_VALIDATOR_PASS.</x:v>
      </x:c>
    </x:row>
    <x:row r="83" ht="64" customHeight="1">
      <x:c r="A83" s="23" t="str">
        <x:v>P2P-FILE-0075</x:v>
      </x:c>
      <x:c r="B83" s="22" t="str">
        <x:v>Lệnh &amp; trải nghiệm gọi</x:v>
      </x:c>
      <x:c r="C83" s="22" t="str">
        <x:v>p2p-karpathy</x:v>
      </x:c>
      <x:c r="D83" s="22" t="str">
        <x:v>8.4.6-C/plugin/.claude/commands/p2p-karpathy.md</x:v>
      </x:c>
      <x:c r="E83" s="22"/>
      <x:c r="F83" s="23" t="str">
        <x:v>54B84481</x:v>
      </x:c>
      <x:c r="G83" s="23"/>
      <x:c r="H83" s="23" t="str">
        <x:f>IF($N$3&lt;&gt;"DONE","Chờ bản mới",IF(AND(D83="",E83=""),"",IF(D83="","Thêm mới",IF(E83="","Không còn",IF(AND(D83&lt;&gt;E83,F83=G83),"Đổi tên/di chuyển",IF(F83=G83,"Không đổi","Sửa nội dung"))))))</x:f>
        <x:v>Chờ bản mới</x:v>
      </x:c>
      <x:c r="I83" s="22" t="str">
        <x:v>Chờ phân tích khi có bản mới</x:v>
      </x:c>
      <x:c r="J83" s="22" t="str">
        <x:v>Giữ nguyên byte trong source/8.4.6-C; bản Codex ghi đường dẫn nguồn và CRC.</x:v>
      </x:c>
      <x:c r="K83" s="22" t="str">
        <x:v>KEEP_SOURCE + CONVERT_TO_SKILL</x:v>
      </x:c>
      <x:c r="L83" s="22" t="str">
        <x:v>.agents/skills/p2p-karpathy/SKILL.md</x:v>
      </x:c>
      <x:c r="M83" s="22" t="str">
        <x:v>SKILL.md hợp lệ; gọi $skill đúng; trigger tự động không quá rộng; 3 ca đơn giản/trung bình/đối kháng đạt parity.</x:v>
      </x:c>
      <x:c r="N83" s="22" t="str">
        <x:v>Chờ bản mới</x:v>
      </x:c>
      <x:c r="O83" s="22" t="str">
        <x:v>Không thấy rủi ro riêng ngoài yêu cầu parity và truy vết nguồn. Đích đề xuất ban đầu: skills/p2p-karpathy/SKILL.md. Đích thực tế trong gói: .agents/skills/p2p-karpathy/SKILL.md. Bằng chứng: TARGET_PRESENT; SKILL_VALIDATOR_PASS.</x:v>
      </x:c>
    </x:row>
    <x:row r="84" ht="64" customHeight="1">
      <x:c r="A84" s="23" t="str">
        <x:v>P2P-FILE-0076</x:v>
      </x:c>
      <x:c r="B84" s="22" t="str">
        <x:v>Lệnh &amp; trải nghiệm gọi</x:v>
      </x:c>
      <x:c r="C84" s="22" t="str">
        <x:v>p2p-metrics</x:v>
      </x:c>
      <x:c r="D84" s="22" t="str">
        <x:v>8.4.6-C/plugin/.claude/commands/p2p-metrics.md</x:v>
      </x:c>
      <x:c r="E84" s="22"/>
      <x:c r="F84" s="23" t="str">
        <x:v>33888F03</x:v>
      </x:c>
      <x:c r="G84" s="23"/>
      <x:c r="H84" s="23" t="str">
        <x:f>IF($N$3&lt;&gt;"DONE","Chờ bản mới",IF(AND(D84="",E84=""),"",IF(D84="","Thêm mới",IF(E84="","Không còn",IF(AND(D84&lt;&gt;E84,F84=G84),"Đổi tên/di chuyển",IF(F84=G84,"Không đổi","Sửa nội dung"))))))</x:f>
        <x:v>Chờ bản mới</x:v>
      </x:c>
      <x:c r="I84" s="22" t="str">
        <x:v>Chờ phân tích khi có bản mới</x:v>
      </x:c>
      <x:c r="J84" s="22" t="str">
        <x:v>Giữ nguyên byte trong source/8.4.6-C; bản Codex ghi đường dẫn nguồn và CRC.</x:v>
      </x:c>
      <x:c r="K84" s="22" t="str">
        <x:v>KEEP_SOURCE + CONVERT_TO_SKILL</x:v>
      </x:c>
      <x:c r="L84" s="22" t="str">
        <x:v>.agents/skills/p2p-metrics/SKILL.md</x:v>
      </x:c>
      <x:c r="M84" s="22" t="str">
        <x:v>SKILL.md hợp lệ; gọi $skill đúng; trigger tự động không quá rộng; 3 ca đơn giản/trung bình/đối kháng đạt parity.</x:v>
      </x:c>
      <x:c r="N84" s="22" t="str">
        <x:v>Chờ bản mới</x:v>
      </x:c>
      <x:c r="O84" s="22" t="str">
        <x:v>Không thấy rủi ro riêng ngoài yêu cầu parity và truy vết nguồn. Đích đề xuất ban đầu: skills/p2p-metrics/SKILL.md. Đích thực tế trong gói: .agents/skills/p2p-metrics/SKILL.md. Bằng chứng: TARGET_PRESENT; SKILL_VALIDATOR_PASS.</x:v>
      </x:c>
    </x:row>
    <x:row r="85" ht="64" customHeight="1">
      <x:c r="A85" s="23" t="str">
        <x:v>P2P-FILE-0077</x:v>
      </x:c>
      <x:c r="B85" s="22" t="str">
        <x:v>Lệnh &amp; trải nghiệm gọi</x:v>
      </x:c>
      <x:c r="C85" s="22" t="str">
        <x:v>p2p-pxpipe</x:v>
      </x:c>
      <x:c r="D85" s="22" t="str">
        <x:v>8.4.6-C/plugin/.claude/commands/p2p-pxpipe.md</x:v>
      </x:c>
      <x:c r="E85" s="22"/>
      <x:c r="F85" s="23" t="str">
        <x:v>EB5A5CD3</x:v>
      </x:c>
      <x:c r="G85" s="23"/>
      <x:c r="H85" s="23" t="str">
        <x:f>IF($N$3&lt;&gt;"DONE","Chờ bản mới",IF(AND(D85="",E85=""),"",IF(D85="","Thêm mới",IF(E85="","Không còn",IF(AND(D85&lt;&gt;E85,F85=G85),"Đổi tên/di chuyển",IF(F85=G85,"Không đổi","Sửa nội dung"))))))</x:f>
        <x:v>Chờ bản mới</x:v>
      </x:c>
      <x:c r="I85" s="22" t="str">
        <x:v>Chờ phân tích khi có bản mới</x:v>
      </x:c>
      <x:c r="J85" s="22" t="str">
        <x:v>Giữ nguyên byte trong source/8.4.6-C; bản Codex ghi đường dẫn nguồn và CRC.</x:v>
      </x:c>
      <x:c r="K85" s="22" t="str">
        <x:v>KEEP_SOURCE + CONVERT_TO_SKILL + OPTIONAL_GATE</x:v>
      </x:c>
      <x:c r="L85" s="22" t="str">
        <x:v>.agents/skills/p2p-pxpipe/SKILL.md</x:v>
      </x:c>
      <x:c r="M85" s="22" t="str">
        <x:v>SKILL.md hợp lệ; gọi $skill đúng; trigger tự động không quá rộng; 3 ca đơn giản/trung bình/đối kháng đạt parity.</x:v>
      </x:c>
      <x:c r="N85" s="22" t="str">
        <x:v>Chờ bản mới</x:v>
      </x:c>
      <x:c r="O85" s="22" t="str">
        <x:v>Không bật mặc định; lợi ích phụ thuộc model đọc ảnh, độ chính xác và chi phí encode/decode. Đích đề xuất ban đầu: skills/p2p-pxpipe/SKILL.md. Đích thực tế trong gói: .agents/skills/p2p-pxpipe/SKILL.md. Bằng chứng: TARGET_PRESENT; SKILL_VALIDATOR_PASS.</x:v>
      </x:c>
    </x:row>
    <x:row r="86" ht="64" customHeight="1">
      <x:c r="A86" s="23" t="str">
        <x:v>P2P-FILE-0078</x:v>
      </x:c>
      <x:c r="B86" s="22" t="str">
        <x:v>QUORUM &amp; đa agent</x:v>
      </x:c>
      <x:c r="C86" s="22" t="str">
        <x:v>p2p-quorum</x:v>
      </x:c>
      <x:c r="D86" s="22" t="str">
        <x:v>8.4.6-C/plugin/.claude/commands/p2p-quorum.md</x:v>
      </x:c>
      <x:c r="E86" s="22"/>
      <x:c r="F86" s="23" t="str">
        <x:v>50FF811B</x:v>
      </x:c>
      <x:c r="G86" s="23"/>
      <x:c r="H86" s="23" t="str">
        <x:f>IF($N$3&lt;&gt;"DONE","Chờ bản mới",IF(AND(D86="",E86=""),"",IF(D86="","Thêm mới",IF(E86="","Không còn",IF(AND(D86&lt;&gt;E86,F86=G86),"Đổi tên/di chuyển",IF(F86=G86,"Không đổi","Sửa nội dung"))))))</x:f>
        <x:v>Chờ bản mới</x:v>
      </x:c>
      <x:c r="I86" s="22" t="str">
        <x:v>Chờ phân tích khi có bản mới</x:v>
      </x:c>
      <x:c r="J86" s="22" t="str">
        <x:v>Giữ nguyên byte trong source/8.4.6-C; bản Codex ghi đường dẫn nguồn và CRC.</x:v>
      </x:c>
      <x:c r="K86" s="22" t="str">
        <x:v>KEEP_SOURCE + CONVERT_TO_SKILL</x:v>
      </x:c>
      <x:c r="L86" s="22" t="str">
        <x:v>.agents/skills/p2p-quorum/SKILL.md</x:v>
      </x:c>
      <x:c r="M86" s="22" t="str">
        <x:v>SKILL.md hợp lệ; gọi $skill đúng; trigger tự động không quá rộng; 3 ca đơn giản/trung bình/đối kháng đạt parity.</x:v>
      </x:c>
      <x:c r="N86" s="22" t="str">
        <x:v>Chờ bản mới</x:v>
      </x:c>
      <x:c r="O86" s="22" t="str">
        <x:v>Không thấy rủi ro riêng ngoài yêu cầu parity và truy vết nguồn. Đích đề xuất ban đầu: skills/p2p-quorum/SKILL.md. Đích thực tế trong gói: .agents/skills/p2p-quorum/SKILL.md. Bằng chứng: TARGET_PRESENT; SKILL_VALIDATOR_PASS.</x:v>
      </x:c>
    </x:row>
    <x:row r="87" ht="64" customHeight="1">
      <x:c r="A87" s="23" t="str">
        <x:v>P2P-FILE-0079</x:v>
      </x:c>
      <x:c r="B87" s="22" t="str">
        <x:v>Lệnh &amp; trải nghiệm gọi</x:v>
      </x:c>
      <x:c r="C87" s="22" t="str">
        <x:v>p2p-scope</x:v>
      </x:c>
      <x:c r="D87" s="22" t="str">
        <x:v>8.4.6-C/plugin/.claude/commands/p2p-scope.md</x:v>
      </x:c>
      <x:c r="E87" s="22"/>
      <x:c r="F87" s="23" t="str">
        <x:v>3C295D92</x:v>
      </x:c>
      <x:c r="G87" s="23"/>
      <x:c r="H87" s="23" t="str">
        <x:f>IF($N$3&lt;&gt;"DONE","Chờ bản mới",IF(AND(D87="",E87=""),"",IF(D87="","Thêm mới",IF(E87="","Không còn",IF(AND(D87&lt;&gt;E87,F87=G87),"Đổi tên/di chuyển",IF(F87=G87,"Không đổi","Sửa nội dung"))))))</x:f>
        <x:v>Chờ bản mới</x:v>
      </x:c>
      <x:c r="I87" s="22" t="str">
        <x:v>Chờ phân tích khi có bản mới</x:v>
      </x:c>
      <x:c r="J87" s="22" t="str">
        <x:v>Giữ nguyên byte trong source/8.4.6-C; bản Codex ghi đường dẫn nguồn và CRC.</x:v>
      </x:c>
      <x:c r="K87" s="22" t="str">
        <x:v>KEEP_SOURCE + CONVERT_TO_SKILL</x:v>
      </x:c>
      <x:c r="L87" s="22" t="str">
        <x:v>.agents/skills/p2p-scope/SKILL.md</x:v>
      </x:c>
      <x:c r="M87" s="22" t="str">
        <x:v>SKILL.md hợp lệ; gọi $skill đúng; trigger tự động không quá rộng; 3 ca đơn giản/trung bình/đối kháng đạt parity.</x:v>
      </x:c>
      <x:c r="N87" s="22" t="str">
        <x:v>Chờ bản mới</x:v>
      </x:c>
      <x:c r="O87" s="22" t="str">
        <x:v>Không thấy rủi ro riêng ngoài yêu cầu parity và truy vết nguồn. Đích đề xuất ban đầu: skills/p2p-scope/SKILL.md. Đích thực tế trong gói: .agents/skills/p2p-scope/SKILL.md. Bằng chứng: TARGET_PRESENT; SKILL_VALIDATOR_PASS.</x:v>
      </x:c>
    </x:row>
    <x:row r="88" ht="64" customHeight="1">
      <x:c r="A88" s="23" t="str">
        <x:v>P2P-FILE-0080</x:v>
      </x:c>
      <x:c r="B88" s="22" t="str">
        <x:v>Lệnh &amp; trải nghiệm gọi</x:v>
      </x:c>
      <x:c r="C88" s="22" t="str">
        <x:v>p2p-teacher</x:v>
      </x:c>
      <x:c r="D88" s="22" t="str">
        <x:v>8.4.6-C/plugin/.claude/commands/p2p-teacher.md</x:v>
      </x:c>
      <x:c r="E88" s="22"/>
      <x:c r="F88" s="23" t="str">
        <x:v>D39C9570</x:v>
      </x:c>
      <x:c r="G88" s="23"/>
      <x:c r="H88" s="23" t="str">
        <x:f>IF($N$3&lt;&gt;"DONE","Chờ bản mới",IF(AND(D88="",E88=""),"",IF(D88="","Thêm mới",IF(E88="","Không còn",IF(AND(D88&lt;&gt;E88,F88=G88),"Đổi tên/di chuyển",IF(F88=G88,"Không đổi","Sửa nội dung"))))))</x:f>
        <x:v>Chờ bản mới</x:v>
      </x:c>
      <x:c r="I88" s="22" t="str">
        <x:v>Chờ phân tích khi có bản mới</x:v>
      </x:c>
      <x:c r="J88" s="22" t="str">
        <x:v>Giữ nguyên byte trong source/8.4.6-C; bản Codex ghi đường dẫn nguồn và CRC.</x:v>
      </x:c>
      <x:c r="K88" s="22" t="str">
        <x:v>KEEP_SOURCE + CONVERT_TO_SKILL</x:v>
      </x:c>
      <x:c r="L88" s="22" t="str">
        <x:v>.agents/skills/p2p-teacher/SKILL.md</x:v>
      </x:c>
      <x:c r="M88" s="22" t="str">
        <x:v>SKILL.md hợp lệ; gọi $skill đúng; trigger tự động không quá rộng; 3 ca đơn giản/trung bình/đối kháng đạt parity.</x:v>
      </x:c>
      <x:c r="N88" s="22" t="str">
        <x:v>Chờ bản mới</x:v>
      </x:c>
      <x:c r="O88" s="22" t="str">
        <x:v>Không thấy rủi ro riêng ngoài yêu cầu parity và truy vết nguồn. Đích đề xuất ban đầu: skills/p2p-teacher/SKILL.md. Đích thực tế trong gói: .agents/skills/p2p-teacher/SKILL.md. Bằng chứng: TARGET_PRESENT; SKILL_VALIDATOR_PASS.</x:v>
      </x:c>
    </x:row>
    <x:row r="89" ht="64" customHeight="1">
      <x:c r="A89" s="23" t="str">
        <x:v>P2P-FILE-0081</x:v>
      </x:c>
      <x:c r="B89" s="22" t="str">
        <x:v>Lệnh &amp; trải nghiệm gọi</x:v>
      </x:c>
      <x:c r="C89" s="22" t="str">
        <x:v>p2p</x:v>
      </x:c>
      <x:c r="D89" s="22" t="str">
        <x:v>8.4.6-C/plugin/.claude/commands/p2p.md</x:v>
      </x:c>
      <x:c r="E89" s="22"/>
      <x:c r="F89" s="23" t="str">
        <x:v>EDE86773</x:v>
      </x:c>
      <x:c r="G89" s="23"/>
      <x:c r="H89" s="23" t="str">
        <x:f>IF($N$3&lt;&gt;"DONE","Chờ bản mới",IF(AND(D89="",E89=""),"",IF(D89="","Thêm mới",IF(E89="","Không còn",IF(AND(D89&lt;&gt;E89,F89=G89),"Đổi tên/di chuyển",IF(F89=G89,"Không đổi","Sửa nội dung"))))))</x:f>
        <x:v>Chờ bản mới</x:v>
      </x:c>
      <x:c r="I89" s="22" t="str">
        <x:v>Chờ phân tích khi có bản mới</x:v>
      </x:c>
      <x:c r="J89" s="22" t="str">
        <x:v>Giữ nguyên byte trong source/8.4.6-C; bản Codex ghi đường dẫn nguồn và CRC.</x:v>
      </x:c>
      <x:c r="K89" s="22" t="str">
        <x:v>KEEP_SOURCE + CONVERT_TO_SKILL</x:v>
      </x:c>
      <x:c r="L89" s="22" t="str">
        <x:v>.agents/skills/p2p/SKILL.md</x:v>
      </x:c>
      <x:c r="M89" s="22" t="str">
        <x:v>SKILL.md hợp lệ; gọi $skill đúng; trigger tự động không quá rộng; 3 ca đơn giản/trung bình/đối kháng đạt parity.</x:v>
      </x:c>
      <x:c r="N89" s="22" t="str">
        <x:v>Chờ bản mới</x:v>
      </x:c>
      <x:c r="O89" s="22" t="str">
        <x:v>Không thấy rủi ro riêng ngoài yêu cầu parity và truy vết nguồn. Đích đề xuất ban đầu: skills/p2p/SKILL.md. Đích thực tế trong gói: .agents/skills/p2p/SKILL.md. Bằng chứng: TARGET_PRESENT; SKILL_VALIDATOR_PASS.</x:v>
      </x:c>
    </x:row>
    <x:row r="90" ht="64" customHeight="1">
      <x:c r="A90" s="23" t="str">
        <x:v>P2P-FILE-0082</x:v>
      </x:c>
      <x:c r="B90" s="22" t="str">
        <x:v>Nền tảng &amp; đóng gói Codex</x:v>
      </x:c>
      <x:c r="C90" s="22" t="str">
        <x:v>settings</x:v>
      </x:c>
      <x:c r="D90" s="22" t="str">
        <x:v>8.4.6-C/plugin/.claude/settings.json</x:v>
      </x:c>
      <x:c r="E90" s="22"/>
      <x:c r="F90" s="23" t="str">
        <x:v>D585F5E0</x:v>
      </x:c>
      <x:c r="G90" s="23"/>
      <x:c r="H90" s="23" t="str">
        <x:f>IF($N$3&lt;&gt;"DONE","Chờ bản mới",IF(AND(D90="",E90=""),"",IF(D90="","Thêm mới",IF(E90="","Không còn",IF(AND(D90&lt;&gt;E90,F90=G90),"Đổi tên/di chuyển",IF(F90=G90,"Không đổi","Sửa nội dung"))))))</x:f>
        <x:v>Chờ bản mới</x:v>
      </x:c>
      <x:c r="I90" s="22" t="str">
        <x:v>Chờ phân tích khi có bản mới</x:v>
      </x:c>
      <x:c r="J90" s="22" t="str">
        <x:v>Giữ nguyên byte trong source/8.4.6-C; bản Codex ghi đường dẫn nguồn và CRC. Mọi port được tạo ở file mới, không sửa mã nguồn snapshot.</x:v>
      </x:c>
      <x:c r="K90" s="22" t="str">
        <x:v>KEEP_SOURCE + REWRITE_NATIVE + SECURITY_REVIEW</x:v>
      </x:c>
      <x:c r="L90" s="22" t="str">
        <x:v>.codex/config.toml</x:v>
      </x:c>
      <x:c r="M90" s="22" t="str">
        <x:v>config.toml parse được; quyền tối thiểu; hook tắt mặc định; trust gate và khôi phục khi lỗi hoạt động.</x:v>
      </x:c>
      <x:c r="N90" s="22" t="str">
        <x:v>Chờ bản mới</x:v>
      </x:c>
      <x:c r="O90" s="22" t="str">
        <x:v>Biến P2P_VERSION trong file là 8C.1, không khớp gói 8.4.6-C; phải xử lý như lỗi dữ liệu nguồn, không âm thầm sửa. Đích đề xuất ban đầu: .codex/config.toml + hooks/ (opt-in). Đích thực tế trong gói: .codex/config.toml. Bằng chứng: NATIVE_TARGET_PRESENT; STRUCTURAL_CHECK_PASS.</x:v>
      </x:c>
    </x:row>
    <x:row r="91" ht="64" customHeight="1">
      <x:c r="A91" s="23" t="str">
        <x:v>P2P-FILE-0083</x:v>
      </x:c>
      <x:c r="B91" s="22" t="str">
        <x:v>Skill phụ: 4PDA</x:v>
      </x:c>
      <x:c r="C91" s="22" t="str">
        <x:v>bb4pda</x:v>
      </x:c>
      <x:c r="D91" s="22" t="str">
        <x:v>8.4.6-C/plugin/.claude/skills/bb4pda/SKILL.md</x:v>
      </x:c>
      <x:c r="E91" s="22"/>
      <x:c r="F91" s="23" t="str">
        <x:v>3D2ADB81</x:v>
      </x:c>
      <x:c r="G91" s="23"/>
      <x:c r="H91" s="23" t="str">
        <x:f>IF($N$3&lt;&gt;"DONE","Chờ bản mới",IF(AND(D91="",E91=""),"",IF(D91="","Thêm mới",IF(E91="","Không còn",IF(AND(D91&lt;&gt;E91,F91=G91),"Đổi tên/di chuyển",IF(F91=G91,"Không đổi","Sửa nội dung"))))))</x:f>
        <x:v>Chờ bản mới</x:v>
      </x:c>
      <x:c r="I91" s="22" t="str">
        <x:v>Chờ phân tích khi có bản mới</x:v>
      </x:c>
      <x:c r="J91" s="22" t="str">
        <x:v>Giữ nguyên byte trong source/8.4.6-C; bản Codex ghi đường dẫn nguồn và CRC.</x:v>
      </x:c>
      <x:c r="K91" s="22" t="str">
        <x:v>KEEP_SOURCE + TRANSLATE_SKILL</x:v>
      </x:c>
      <x:c r="L91" s="22" t="str">
        <x:v>.agents/skills/bb4pda/SKILL.md</x:v>
      </x:c>
      <x:c r="M91" s="22" t="str">
        <x:v>SKILL.md hợp lệ; gọi $skill đúng; trigger tự động không quá rộng; 3 ca đơn giản/trung bình/đối kháng đạt parity.</x:v>
      </x:c>
      <x:c r="N91" s="22" t="str">
        <x:v>Chờ bản mới</x:v>
      </x:c>
      <x:c r="O91" s="22" t="str">
        <x:v>Không thấy rủi ro riêng ngoài yêu cầu parity và truy vết nguồn. Đích đề xuất ban đầu: skills/bb4pda/SKILL.md. Đích thực tế trong gói: .agents/skills/bb4pda/SKILL.md. Bằng chứng: TARGET_PRESENT; SKILL_VALIDATOR_PASS.</x:v>
      </x:c>
    </x:row>
    <x:row r="92" ht="64" customHeight="1">
      <x:c r="A92" s="23" t="str">
        <x:v>P2P-FILE-0084</x:v>
      </x:c>
      <x:c r="B92" s="22" t="str">
        <x:v>Skill phụ: 4PDA</x:v>
      </x:c>
      <x:c r="C92" s="22" t="str">
        <x:v>bb4pda_db</x:v>
      </x:c>
      <x:c r="D92" s="22" t="str">
        <x:v>8.4.6-C/plugin/.claude/skills/bb4pda/reference/bb_4pda_db.md</x:v>
      </x:c>
      <x:c r="E92" s="22"/>
      <x:c r="F92" s="23" t="str">
        <x:v>3EFCE732</x:v>
      </x:c>
      <x:c r="G92" s="23"/>
      <x:c r="H92" s="23" t="str">
        <x:f>IF($N$3&lt;&gt;"DONE","Chờ bản mới",IF(AND(D92="",E92=""),"",IF(D92="","Thêm mới",IF(E92="","Không còn",IF(AND(D92&lt;&gt;E92,F92=G92),"Đổi tên/di chuyển",IF(F92=G92,"Không đổi","Sửa nội dung"))))))</x:f>
        <x:v>Chờ bản mới</x:v>
      </x:c>
      <x:c r="I92" s="22" t="str">
        <x:v>Chờ phân tích khi có bản mới</x:v>
      </x:c>
      <x:c r="J92" s="22" t="str">
        <x:v>Giữ nguyên byte trong source/8.4.6-C; bản Codex ghi đường dẫn nguồn và CRC.</x:v>
      </x:c>
      <x:c r="K92" s="22" t="str">
        <x:v>KEEP_SOURCE + KEEP_REFERENCE</x:v>
      </x:c>
      <x:c r="L92" s="22" t="str">
        <x:v>.agents/skills/bb4pda/references/bb_4pda_db.md</x:v>
      </x:c>
      <x:c r="M92" s="22" t="str">
        <x:v>CRC nguồn khớp; nội dung không mất; reference chỉ nạp khi cần; 3 ca parity và một ca không kích hoạt ngoài ý muốn.</x:v>
      </x:c>
      <x:c r="N92" s="22" t="str">
        <x:v>Chờ bản mới</x:v>
      </x:c>
      <x:c r="O92" s="22" t="str">
        <x:v>Không thấy rủi ro riêng ngoài yêu cầu parity và truy vết nguồn. Đích đề xuất ban đầu: skills/bb4pda/references/bb_4pda_db.md. Đích thực tế trong gói: .agents/skills/bb4pda/references/bb_4pda_db.md. Bằng chứng: SOURCE_HASH_VERIFIED; TARGET_PRESENT; ON_DEMAND_LOAD.</x:v>
      </x:c>
    </x:row>
    <x:row r="93" ht="64" customHeight="1">
      <x:c r="A93" s="23" t="str">
        <x:v>P2P-FILE-0085</x:v>
      </x:c>
      <x:c r="B93" s="22" t="str">
        <x:v>Skill phụ: 4PDA</x:v>
      </x:c>
      <x:c r="C93" s="22" t="str">
        <x:v>common_codes</x:v>
      </x:c>
      <x:c r="D93" s="22" t="str">
        <x:v>8.4.6-C/plugin/.claude/skills/bb4pda/reference/common_codes.md</x:v>
      </x:c>
      <x:c r="E93" s="22"/>
      <x:c r="F93" s="23" t="str">
        <x:v>58C279C0</x:v>
      </x:c>
      <x:c r="G93" s="23"/>
      <x:c r="H93" s="23" t="str">
        <x:f>IF($N$3&lt;&gt;"DONE","Chờ bản mới",IF(AND(D93="",E93=""),"",IF(D93="","Thêm mới",IF(E93="","Không còn",IF(AND(D93&lt;&gt;E93,F93=G93),"Đổi tên/di chuyển",IF(F93=G93,"Không đổi","Sửa nội dung"))))))</x:f>
        <x:v>Chờ bản mới</x:v>
      </x:c>
      <x:c r="I93" s="22" t="str">
        <x:v>Chờ phân tích khi có bản mới</x:v>
      </x:c>
      <x:c r="J93" s="22" t="str">
        <x:v>Giữ nguyên byte trong source/8.4.6-C; bản Codex ghi đường dẫn nguồn và CRC.</x:v>
      </x:c>
      <x:c r="K93" s="22" t="str">
        <x:v>KEEP_SOURCE + KEEP_REFERENCE</x:v>
      </x:c>
      <x:c r="L93" s="22" t="str">
        <x:v>.agents/skills/bb4pda/references/common_codes.md</x:v>
      </x:c>
      <x:c r="M93" s="22" t="str">
        <x:v>CRC nguồn khớp; nội dung không mất; reference chỉ nạp khi cần; 3 ca parity và một ca không kích hoạt ngoài ý muốn.</x:v>
      </x:c>
      <x:c r="N93" s="22" t="str">
        <x:v>Chờ bản mới</x:v>
      </x:c>
      <x:c r="O93" s="22" t="str">
        <x:v>Không thấy rủi ro riêng ngoài yêu cầu parity và truy vết nguồn. Đích đề xuất ban đầu: skills/bb4pda/references/common_codes.md. Đích thực tế trong gói: .agents/skills/bb4pda/references/common_codes.md. Bằng chứng: SOURCE_HASH_VERIFIED; TARGET_PRESENT; ON_DEMAND_LOAD.</x:v>
      </x:c>
    </x:row>
    <x:row r="94" ht="64" customHeight="1">
      <x:c r="A94" s="23" t="str">
        <x:v>P2P-FILE-0086</x:v>
      </x:c>
      <x:c r="B94" s="22" t="str">
        <x:v>Skill phụ: 4PDA</x:v>
      </x:c>
      <x:c r="C94" s="22" t="str">
        <x:v>edge_cases</x:v>
      </x:c>
      <x:c r="D94" s="22" t="str">
        <x:v>8.4.6-C/plugin/.claude/skills/bb4pda/reference/edge_cases.md</x:v>
      </x:c>
      <x:c r="E94" s="22"/>
      <x:c r="F94" s="23" t="str">
        <x:v>A1FB6934</x:v>
      </x:c>
      <x:c r="G94" s="23"/>
      <x:c r="H94" s="23" t="str">
        <x:f>IF($N$3&lt;&gt;"DONE","Chờ bản mới",IF(AND(D94="",E94=""),"",IF(D94="","Thêm mới",IF(E94="","Không còn",IF(AND(D94&lt;&gt;E94,F94=G94),"Đổi tên/di chuyển",IF(F94=G94,"Không đổi","Sửa nội dung"))))))</x:f>
        <x:v>Chờ bản mới</x:v>
      </x:c>
      <x:c r="I94" s="22" t="str">
        <x:v>Chờ phân tích khi có bản mới</x:v>
      </x:c>
      <x:c r="J94" s="22" t="str">
        <x:v>Giữ nguyên byte trong source/8.4.6-C; bản Codex ghi đường dẫn nguồn và CRC.</x:v>
      </x:c>
      <x:c r="K94" s="22" t="str">
        <x:v>KEEP_SOURCE + KEEP_REFERENCE</x:v>
      </x:c>
      <x:c r="L94" s="22" t="str">
        <x:v>.agents/skills/bb4pda/references/edge_cases.md</x:v>
      </x:c>
      <x:c r="M94" s="22" t="str">
        <x:v>CRC nguồn khớp; nội dung không mất; reference chỉ nạp khi cần; 3 ca parity và một ca không kích hoạt ngoài ý muốn.</x:v>
      </x:c>
      <x:c r="N94" s="22" t="str">
        <x:v>Chờ bản mới</x:v>
      </x:c>
      <x:c r="O94" s="22" t="str">
        <x:v>Không thấy rủi ro riêng ngoài yêu cầu parity và truy vết nguồn. Đích đề xuất ban đầu: skills/bb4pda/references/edge_cases.md. Đích thực tế trong gói: .agents/skills/bb4pda/references/edge_cases.md. Bằng chứng: SOURCE_HASH_VERIFIED; TARGET_PRESENT; ON_DEMAND_LOAD.</x:v>
      </x:c>
    </x:row>
    <x:row r="95" ht="64" customHeight="1">
      <x:c r="A95" s="23" t="str">
        <x:v>P2P-FILE-0087</x:v>
      </x:c>
      <x:c r="B95" s="22" t="str">
        <x:v>Skill phụ: 4PDA</x:v>
      </x:c>
      <x:c r="C95" s="22" t="str">
        <x:v>images_4pda</x:v>
      </x:c>
      <x:c r="D95" s="22" t="str">
        <x:v>8.4.6-C/plugin/.claude/skills/bb4pda/reference/images_4pda.md</x:v>
      </x:c>
      <x:c r="E95" s="22"/>
      <x:c r="F95" s="23" t="str">
        <x:v>50C77DF9</x:v>
      </x:c>
      <x:c r="G95" s="23"/>
      <x:c r="H95" s="23" t="str">
        <x:f>IF($N$3&lt;&gt;"DONE","Chờ bản mới",IF(AND(D95="",E95=""),"",IF(D95="","Thêm mới",IF(E95="","Không còn",IF(AND(D95&lt;&gt;E95,F95=G95),"Đổi tên/di chuyển",IF(F95=G95,"Không đổi","Sửa nội dung"))))))</x:f>
        <x:v>Chờ bản mới</x:v>
      </x:c>
      <x:c r="I95" s="22" t="str">
        <x:v>Chờ phân tích khi có bản mới</x:v>
      </x:c>
      <x:c r="J95" s="22" t="str">
        <x:v>Giữ nguyên byte trong source/8.4.6-C; bản Codex ghi đường dẫn nguồn và CRC.</x:v>
      </x:c>
      <x:c r="K95" s="22" t="str">
        <x:v>KEEP_SOURCE + KEEP_REFERENCE</x:v>
      </x:c>
      <x:c r="L95" s="22" t="str">
        <x:v>.agents/skills/bb4pda/references/images_4pda.md</x:v>
      </x:c>
      <x:c r="M95" s="22" t="str">
        <x:v>CRC nguồn khớp; nội dung không mất; reference chỉ nạp khi cần; 3 ca parity và một ca không kích hoạt ngoài ý muốn.</x:v>
      </x:c>
      <x:c r="N95" s="22" t="str">
        <x:v>Chờ bản mới</x:v>
      </x:c>
      <x:c r="O95" s="22" t="str">
        <x:v>Không thấy rủi ro riêng ngoài yêu cầu parity và truy vết nguồn. Đích đề xuất ban đầu: skills/bb4pda/references/images_4pda.md. Đích thực tế trong gói: .agents/skills/bb4pda/references/images_4pda.md. Bằng chứng: SOURCE_HASH_VERIFIED; TARGET_PRESENT; ON_DEMAND_LOAD.</x:v>
      </x:c>
    </x:row>
    <x:row r="96" ht="64" customHeight="1">
      <x:c r="A96" s="23" t="str">
        <x:v>P2P-FILE-0088</x:v>
      </x:c>
      <x:c r="B96" s="22" t="str">
        <x:v>Skill phụ: 4PDA</x:v>
      </x:c>
      <x:c r="C96" s="22" t="str">
        <x:v>symbols_fontello</x:v>
      </x:c>
      <x:c r="D96" s="22" t="str">
        <x:v>8.4.6-C/plugin/.claude/skills/bb4pda/reference/symbols_fontello.md</x:v>
      </x:c>
      <x:c r="E96" s="22"/>
      <x:c r="F96" s="23" t="str">
        <x:v>ECE6D452</x:v>
      </x:c>
      <x:c r="G96" s="23"/>
      <x:c r="H96" s="23" t="str">
        <x:f>IF($N$3&lt;&gt;"DONE","Chờ bản mới",IF(AND(D96="",E96=""),"",IF(D96="","Thêm mới",IF(E96="","Không còn",IF(AND(D96&lt;&gt;E96,F96=G96),"Đổi tên/di chuyển",IF(F96=G96,"Không đổi","Sửa nội dung"))))))</x:f>
        <x:v>Chờ bản mới</x:v>
      </x:c>
      <x:c r="I96" s="22" t="str">
        <x:v>Chờ phân tích khi có bản mới</x:v>
      </x:c>
      <x:c r="J96" s="22" t="str">
        <x:v>Giữ nguyên byte trong source/8.4.6-C; bản Codex ghi đường dẫn nguồn và CRC.</x:v>
      </x:c>
      <x:c r="K96" s="22" t="str">
        <x:v>KEEP_SOURCE + KEEP_REFERENCE</x:v>
      </x:c>
      <x:c r="L96" s="22" t="str">
        <x:v>.agents/skills/bb4pda/references/symbols_fontello.md</x:v>
      </x:c>
      <x:c r="M96" s="22" t="str">
        <x:v>CRC nguồn khớp; nội dung không mất; reference chỉ nạp khi cần; 3 ca parity và một ca không kích hoạt ngoài ý muốn.</x:v>
      </x:c>
      <x:c r="N96" s="22" t="str">
        <x:v>Chờ bản mới</x:v>
      </x:c>
      <x:c r="O96" s="22" t="str">
        <x:v>Không thấy rủi ro riêng ngoài yêu cầu parity và truy vết nguồn. Đích đề xuất ban đầu: skills/bb4pda/references/symbols_fontello.md. Đích thực tế trong gói: .agents/skills/bb4pda/references/symbols_fontello.md. Bằng chứng: SOURCE_HASH_VERIFIED; TARGET_PRESENT; ON_DEMAND_LOAD.</x:v>
      </x:c>
    </x:row>
    <x:row r="97" ht="64" customHeight="1">
      <x:c r="A97" s="23" t="str">
        <x:v>P2P-FILE-0089</x:v>
      </x:c>
      <x:c r="B97" s="22" t="str">
        <x:v>Skill phụ: RAG toolkit</x:v>
      </x:c>
      <x:c r="C97" s="22" t="str">
        <x:v>notebook_pack</x:v>
      </x:c>
      <x:c r="D97" s="22" t="str">
        <x:v>8.4.6-C/plugin/.claude/skills/notebook-pack/SKILL.md</x:v>
      </x:c>
      <x:c r="E97" s="22"/>
      <x:c r="F97" s="23" t="str">
        <x:v>C83C1979</x:v>
      </x:c>
      <x:c r="G97" s="23"/>
      <x:c r="H97" s="23" t="str">
        <x:f>IF($N$3&lt;&gt;"DONE","Chờ bản mới",IF(AND(D97="",E97=""),"",IF(D97="","Thêm mới",IF(E97="","Không còn",IF(AND(D97&lt;&gt;E97,F97=G97),"Đổi tên/di chuyển",IF(F97=G97,"Không đổi","Sửa nội dung"))))))</x:f>
        <x:v>Chờ bản mới</x:v>
      </x:c>
      <x:c r="I97" s="22" t="str">
        <x:v>Chờ phân tích khi có bản mới</x:v>
      </x:c>
      <x:c r="J97" s="22" t="str">
        <x:v>Giữ nguyên byte trong source/8.4.6-C; bản Codex ghi đường dẫn nguồn và CRC.</x:v>
      </x:c>
      <x:c r="K97" s="22" t="str">
        <x:v>KEEP_SOURCE + TRANSLATE_SKILL</x:v>
      </x:c>
      <x:c r="L97" s="22" t="str">
        <x:v>.agents/skills/notebook-pack/SKILL.md</x:v>
      </x:c>
      <x:c r="M97" s="22" t="str">
        <x:v>SKILL.md hợp lệ; gọi $skill đúng; trigger tự động không quá rộng; 3 ca đơn giản/trung bình/đối kháng đạt parity.</x:v>
      </x:c>
      <x:c r="N97" s="22" t="str">
        <x:v>Chờ bản mới</x:v>
      </x:c>
      <x:c r="O97" s="22" t="str">
        <x:v>Không thấy rủi ro riêng ngoài yêu cầu parity và truy vết nguồn. Đích đề xuất ban đầu: skills/notebook-pack/SKILL.md. Đích thực tế trong gói: .agents/skills/notebook-pack/SKILL.md. Bằng chứng: TARGET_PRESENT; SKILL_VALIDATOR_PASS.</x:v>
      </x:c>
    </x:row>
    <x:row r="98" ht="64" customHeight="1">
      <x:c r="A98" s="23" t="str">
        <x:v>P2P-FILE-0090</x:v>
      </x:c>
      <x:c r="B98" s="22" t="str">
        <x:v>Skill phụ: RAG toolkit</x:v>
      </x:c>
      <x:c r="C98" s="22" t="str">
        <x:v>rag_metaprompt</x:v>
      </x:c>
      <x:c r="D98" s="22" t="str">
        <x:v>8.4.6-C/plugin/.claude/skills/notebook-pack/reference/rag_metaprompt_standard.md</x:v>
      </x:c>
      <x:c r="E98" s="22"/>
      <x:c r="F98" s="23" t="str">
        <x:v>4B95ED1A</x:v>
      </x:c>
      <x:c r="G98" s="23"/>
      <x:c r="H98" s="23" t="str">
        <x:f>IF($N$3&lt;&gt;"DONE","Chờ bản mới",IF(AND(D98="",E98=""),"",IF(D98="","Thêm mới",IF(E98="","Không còn",IF(AND(D98&lt;&gt;E98,F98=G98),"Đổi tên/di chuyển",IF(F98=G98,"Không đổi","Sửa nội dung"))))))</x:f>
        <x:v>Chờ bản mới</x:v>
      </x:c>
      <x:c r="I98" s="22" t="str">
        <x:v>Chờ phân tích khi có bản mới</x:v>
      </x:c>
      <x:c r="J98" s="22" t="str">
        <x:v>Giữ cả các file gốc trong source snapshot; runtime chỉ kích hoạt một bản canonical để tránh nạp kép.</x:v>
      </x:c>
      <x:c r="K98" s="22" t="str">
        <x:v>KEEP_SOURCE + KEEP_REFERENCE</x:v>
      </x:c>
      <x:c r="L98" s="22" t="str">
        <x:v>.agents/skills/notebook-pack/references/rag_metaprompt_standard.md</x:v>
      </x:c>
      <x:c r="M98" s="22" t="str">
        <x:v>CRC nguồn khớp; nội dung không mất; reference chỉ nạp khi cần; 3 ca parity và một ca không kích hoạt ngoài ý muốn.</x:v>
      </x:c>
      <x:c r="N98" s="22" t="str">
        <x:v>Chờ bản mới</x:v>
      </x:c>
      <x:c r="O98" s="22" t="str">
        <x:v>Không thấy rủi ro riêng ngoài yêu cầu parity và truy vết nguồn. Đích đề xuất ban đầu: skills/notebook-pack/references/rag_metaprompt_standard.md. Đích thực tế trong gói: .agents/skills/notebook-pack/references/rag_metaprompt_standard.md. Bằng chứng: SOURCE_HASH_VERIFIED; TARGET_PRESENT; ON_DEMAND_LOAD.</x:v>
      </x:c>
    </x:row>
    <x:row r="99" ht="64" customHeight="1">
      <x:c r="A99" s="23" t="str">
        <x:v>P2P-FILE-0091</x:v>
      </x:c>
      <x:c r="B99" s="22" t="str">
        <x:v>Skill phụ: RAG toolkit</x:v>
      </x:c>
      <x:c r="C99" s="22" t="str">
        <x:v>rag_notebook_prompt</x:v>
      </x:c>
      <x:c r="D99" s="22" t="str">
        <x:v>8.4.6-C/plugin/.claude/skills/notebook-pack/reference/rag_notebook_prompt.md</x:v>
      </x:c>
      <x:c r="E99" s="22"/>
      <x:c r="F99" s="23" t="str">
        <x:v>07C41B99</x:v>
      </x:c>
      <x:c r="G99" s="23"/>
      <x:c r="H99" s="23" t="str">
        <x:f>IF($N$3&lt;&gt;"DONE","Chờ bản mới",IF(AND(D99="",E99=""),"",IF(D99="","Thêm mới",IF(E99="","Không còn",IF(AND(D99&lt;&gt;E99,F99=G99),"Đổi tên/di chuyển",IF(F99=G99,"Không đổi","Sửa nội dung"))))))</x:f>
        <x:v>Chờ bản mới</x:v>
      </x:c>
      <x:c r="I99" s="22" t="str">
        <x:v>Chờ phân tích khi có bản mới</x:v>
      </x:c>
      <x:c r="J99" s="22" t="str">
        <x:v>Giữ nguyên byte trong source/8.4.6-C; bản Codex ghi đường dẫn nguồn và CRC.</x:v>
      </x:c>
      <x:c r="K99" s="22" t="str">
        <x:v>KEEP_SOURCE + KEEP_REFERENCE</x:v>
      </x:c>
      <x:c r="L99" s="22" t="str">
        <x:v>.agents/skills/notebook-pack/references/rag_notebook_prompt.md</x:v>
      </x:c>
      <x:c r="M99" s="22" t="str">
        <x:v>CRC nguồn khớp; nội dung không mất; reference chỉ nạp khi cần; 3 ca parity và một ca không kích hoạt ngoài ý muốn.</x:v>
      </x:c>
      <x:c r="N99" s="22" t="str">
        <x:v>Chờ bản mới</x:v>
      </x:c>
      <x:c r="O99" s="22" t="str">
        <x:v>Không thấy rủi ro riêng ngoài yêu cầu parity và truy vết nguồn. Đích đề xuất ban đầu: skills/notebook-pack/references/rag_notebook_prompt.md. Đích thực tế trong gói: .agents/skills/notebook-pack/references/rag_notebook_prompt.md. Bằng chứng: SOURCE_HASH_VERIFIED; TARGET_PRESENT; ON_DEMAND_LOAD.</x:v>
      </x:c>
    </x:row>
    <x:row r="100" ht="64" customHeight="1">
      <x:c r="A100" s="23" t="str">
        <x:v>P2P-FILE-0092</x:v>
      </x:c>
      <x:c r="B100" s="22" t="str">
        <x:v>QUORUM &amp; đa agent</x:v>
      </x:c>
      <x:c r="C100" s="22" t="str">
        <x:v>p2p_quorum_skill</x:v>
      </x:c>
      <x:c r="D100" s="22" t="str">
        <x:v>8.4.6-C/plugin/.claude/skills/p2p-quorum/SKILL.md</x:v>
      </x:c>
      <x:c r="E100" s="22"/>
      <x:c r="F100" s="23" t="str">
        <x:v>442E31E2</x:v>
      </x:c>
      <x:c r="G100" s="23"/>
      <x:c r="H100" s="23" t="str">
        <x:f>IF($N$3&lt;&gt;"DONE","Chờ bản mới",IF(AND(D100="",E100=""),"",IF(D100="","Thêm mới",IF(E100="","Không còn",IF(AND(D100&lt;&gt;E100,F100=G100),"Đổi tên/di chuyển",IF(F100=G100,"Không đổi","Sửa nội dung"))))))</x:f>
        <x:v>Chờ bản mới</x:v>
      </x:c>
      <x:c r="I100" s="22" t="str">
        <x:v>Chờ phân tích khi có bản mới</x:v>
      </x:c>
      <x:c r="J100" s="22" t="str">
        <x:v>Giữ nguyên byte trong source/8.4.6-C; bản Codex ghi đường dẫn nguồn và CRC.</x:v>
      </x:c>
      <x:c r="K100" s="22" t="str">
        <x:v>KEEP_SOURCE + TRANSLATE_SKILL</x:v>
      </x:c>
      <x:c r="L100" s="22" t="str">
        <x:v>.agents/skills/p2p-quorum/SKILL.md</x:v>
      </x:c>
      <x:c r="M100" s="22" t="str">
        <x:v>SKILL.md hợp lệ; gọi $skill đúng; trigger tự động không quá rộng; 3 ca đơn giản/trung bình/đối kháng đạt parity.</x:v>
      </x:c>
      <x:c r="N100" s="22" t="str">
        <x:v>Chờ bản mới</x:v>
      </x:c>
      <x:c r="O100" s="22" t="str">
        <x:v>Không thấy rủi ro riêng ngoài yêu cầu parity và truy vết nguồn. Đích đề xuất ban đầu: skills/p2p-quorum/SKILL.md. Đích thực tế trong gói: .agents/skills/p2p-quorum/SKILL.md. Bằng chứng: TARGET_PRESENT; SKILL_VALIDATOR_PASS.</x:v>
      </x:c>
    </x:row>
    <x:row r="101" ht="64" customHeight="1">
      <x:c r="A101" s="23" t="str">
        <x:v>P2P-FILE-0093</x:v>
      </x:c>
      <x:c r="B101" s="22" t="str">
        <x:v>Đào tạo &amp; hướng dẫn</x:v>
      </x:c>
      <x:c r="C101" s="22" t="str">
        <x:v>p2p_teacher_skill</x:v>
      </x:c>
      <x:c r="D101" s="22" t="str">
        <x:v>8.4.6-C/plugin/.claude/skills/p2p-teacher/SKILL.md</x:v>
      </x:c>
      <x:c r="E101" s="22"/>
      <x:c r="F101" s="23" t="str">
        <x:v>8BE25758</x:v>
      </x:c>
      <x:c r="G101" s="23"/>
      <x:c r="H101" s="23" t="str">
        <x:f>IF($N$3&lt;&gt;"DONE","Chờ bản mới",IF(AND(D101="",E101=""),"",IF(D101="","Thêm mới",IF(E101="","Không còn",IF(AND(D101&lt;&gt;E101,F101=G101),"Đổi tên/di chuyển",IF(F101=G101,"Không đổi","Sửa nội dung"))))))</x:f>
        <x:v>Chờ bản mới</x:v>
      </x:c>
      <x:c r="I101" s="22" t="str">
        <x:v>Chờ phân tích khi có bản mới</x:v>
      </x:c>
      <x:c r="J101" s="22" t="str">
        <x:v>Giữ nguyên byte trong source/8.4.6-C; bản Codex ghi đường dẫn nguồn và CRC.</x:v>
      </x:c>
      <x:c r="K101" s="22" t="str">
        <x:v>KEEP_SOURCE + TRANSLATE_SKILL</x:v>
      </x:c>
      <x:c r="L101" s="22" t="str">
        <x:v>.agents/skills/p2p-teacher/SKILL.md</x:v>
      </x:c>
      <x:c r="M101" s="22" t="str">
        <x:v>SKILL.md hợp lệ; gọi $skill đúng; trigger tự động không quá rộng; 3 ca đơn giản/trung bình/đối kháng đạt parity.</x:v>
      </x:c>
      <x:c r="N101" s="22" t="str">
        <x:v>Chờ bản mới</x:v>
      </x:c>
      <x:c r="O101" s="22" t="str">
        <x:v>Không thấy rủi ro riêng ngoài yêu cầu parity và truy vết nguồn. Đích đề xuất ban đầu: skills/p2p-teacher/SKILL.md. Đích thực tế trong gói: .agents/skills/p2p-teacher/SKILL.md. Bằng chứng: TARGET_PRESENT; SKILL_VALIDATOR_PASS.</x:v>
      </x:c>
    </x:row>
    <x:row r="102" ht="64" customHeight="1">
      <x:c r="A102" s="23" t="str">
        <x:v>P2P-FILE-0094</x:v>
      </x:c>
      <x:c r="B102" s="22" t="str">
        <x:v>Lõi &amp; điều phối</x:v>
      </x:c>
      <x:c r="C102" s="22" t="str">
        <x:v>p2p_skill</x:v>
      </x:c>
      <x:c r="D102" s="22" t="str">
        <x:v>8.4.6-C/plugin/.claude/skills/p2p/SKILL.md</x:v>
      </x:c>
      <x:c r="E102" s="22"/>
      <x:c r="F102" s="23" t="str">
        <x:v>DEAAD2FE</x:v>
      </x:c>
      <x:c r="G102" s="23"/>
      <x:c r="H102" s="23" t="str">
        <x:f>IF($N$3&lt;&gt;"DONE","Chờ bản mới",IF(AND(D102="",E102=""),"",IF(D102="","Thêm mới",IF(E102="","Không còn",IF(AND(D102&lt;&gt;E102,F102=G102),"Đổi tên/di chuyển",IF(F102=G102,"Không đổi","Sửa nội dung"))))))</x:f>
        <x:v>Chờ bản mới</x:v>
      </x:c>
      <x:c r="I102" s="22" t="str">
        <x:v>Chờ phân tích khi có bản mới</x:v>
      </x:c>
      <x:c r="J102" s="22" t="str">
        <x:v>Giữ cả các file gốc trong source snapshot; runtime chỉ kích hoạt một bản canonical để tránh nạp kép.</x:v>
      </x:c>
      <x:c r="K102" s="22" t="str">
        <x:v>KEEP_SOURCE + SPLIT_AND_REWRITE</x:v>
      </x:c>
      <x:c r="L102" s="22" t="str">
        <x:v>.agents/skills/p2p/SKILL.md</x:v>
      </x:c>
      <x:c r="M102" s="22" t="str">
        <x:v>SKILL.md hợp lệ; gọi $skill đúng; trigger tự động không quá rộng; 3 ca đơn giản/trung bình/đối kháng đạt parity.</x:v>
      </x:c>
      <x:c r="N102" s="22" t="str">
        <x:v>Chờ bản mới</x:v>
      </x:c>
      <x:c r="O102" s="22" t="str">
        <x:v>Không thấy rủi ro riêng ngoài yêu cầu parity và truy vết nguồn. Đích đề xuất ban đầu: skills/p2p/SKILL.md. Đích thực tế trong gói: .agents/skills/p2p/SKILL.md. Bằng chứng: TARGET_PRESENT; SKILL_VALIDATOR_PASS.</x:v>
      </x:c>
    </x:row>
    <x:row r="103" ht="64" customHeight="1">
      <x:c r="A103" s="23" t="str">
        <x:v>P2P-FILE-0095</x:v>
      </x:c>
      <x:c r="B103" s="22" t="str">
        <x:v>QUORUM &amp; đa agent</x:v>
      </x:c>
      <x:c r="C103" s="22" t="str">
        <x:v>agents</x:v>
      </x:c>
      <x:c r="D103" s="22" t="str">
        <x:v>8.4.6-C/plugin/.claude/skills/p2p/agents.md</x:v>
      </x:c>
      <x:c r="E103" s="22"/>
      <x:c r="F103" s="23" t="str">
        <x:v>4D23AF2B</x:v>
      </x:c>
      <x:c r="G103" s="23"/>
      <x:c r="H103" s="23" t="str">
        <x:f>IF($N$3&lt;&gt;"DONE","Chờ bản mới",IF(AND(D103="",E103=""),"",IF(D103="","Thêm mới",IF(E103="","Không còn",IF(AND(D103&lt;&gt;E103,F103=G103),"Đổi tên/di chuyển",IF(F103=G103,"Không đổi","Sửa nội dung"))))))</x:f>
        <x:v>Chờ bản mới</x:v>
      </x:c>
      <x:c r="I103" s="22" t="str">
        <x:v>Chờ phân tích khi có bản mới</x:v>
      </x:c>
      <x:c r="J103" s="22" t="str">
        <x:v>Giữ cả các file gốc trong source snapshot; runtime chỉ kích hoạt một bản canonical để tránh nạp kép.</x:v>
      </x:c>
      <x:c r="K103" s="22" t="str">
        <x:v>KEEP_SOURCE + TRANSLATE_SEMANTICS</x:v>
      </x:c>
      <x:c r="L103" s="22" t="str">
        <x:v>.agents/skills/p2p/references/legacy/agents.md</x:v>
      </x:c>
      <x:c r="M103" s="22" t="str">
        <x:v>CRC nguồn khớp; nội dung không mất; reference chỉ nạp khi cần; 3 ca parity và một ca không kích hoạt ngoài ý muốn.</x:v>
      </x:c>
      <x:c r="N103" s="22" t="str">
        <x:v>Chờ bản mới</x:v>
      </x:c>
      <x:c r="O103" s="22" t="str">
        <x:v>Không thấy rủi ro riêng ngoài yêu cầu parity và truy vết nguồn. Đích đề xuất ban đầu: skills/p2p/references/agents.md. Đích thực tế trong gói: .agents/skills/p2p/references/legacy/agents.md. Bằng chứng: SOURCE_HASH_VERIFIED; TARGET_PRESENT; ON_DEMAND_LOAD.</x:v>
      </x:c>
    </x:row>
    <x:row r="104" ht="64" customHeight="1">
      <x:c r="A104" s="23" t="str">
        <x:v>P2P-FILE-0096</x:v>
      </x:c>
      <x:c r="B104" s="22" t="str">
        <x:v>Nội dung, media &amp; trình bày</x:v>
      </x:c>
      <x:c r="C104" s="22" t="str">
        <x:v>art</x:v>
      </x:c>
      <x:c r="D104" s="22" t="str">
        <x:v>8.4.6-C/plugin/.claude/skills/p2p/art.md</x:v>
      </x:c>
      <x:c r="E104" s="22"/>
      <x:c r="F104" s="23" t="str">
        <x:v>DABACFD2</x:v>
      </x:c>
      <x:c r="G104" s="23"/>
      <x:c r="H104" s="23" t="str">
        <x:f>IF($N$3&lt;&gt;"DONE","Chờ bản mới",IF(AND(D104="",E104=""),"",IF(D104="","Thêm mới",IF(E104="","Không còn",IF(AND(D104&lt;&gt;E104,F104=G104),"Đổi tên/di chuyển",IF(F104=G104,"Không đổi","Sửa nội dung"))))))</x:f>
        <x:v>Chờ bản mới</x:v>
      </x:c>
      <x:c r="I104" s="22" t="str">
        <x:v>Chờ phân tích khi có bản mới</x:v>
      </x:c>
      <x:c r="J104" s="22" t="str">
        <x:v>Giữ cả các file gốc trong source snapshot; runtime chỉ kích hoạt một bản canonical để tránh nạp kép.</x:v>
      </x:c>
      <x:c r="K104" s="22" t="str">
        <x:v>KEEP_SOURCE + TRANSLATE_SEMANTICS</x:v>
      </x:c>
      <x:c r="L104" s="22" t="str">
        <x:v>.agents/skills/p2p/references/legacy/art.md</x:v>
      </x:c>
      <x:c r="M104" s="22" t="str">
        <x:v>CRC nguồn khớp; nội dung không mất; reference chỉ nạp khi cần; 3 ca parity và một ca không kích hoạt ngoài ý muốn.</x:v>
      </x:c>
      <x:c r="N104" s="22" t="str">
        <x:v>Chờ bản mới</x:v>
      </x:c>
      <x:c r="O104" s="22" t="str">
        <x:v>Không thấy rủi ro riêng ngoài yêu cầu parity và truy vết nguồn. Đích đề xuất ban đầu: skills/p2p/references/art.md. Đích thực tế trong gói: .agents/skills/p2p/references/legacy/art.md. Bằng chứng: SOURCE_HASH_VERIFIED; TARGET_PRESENT; ON_DEMAND_LOAD.</x:v>
      </x:c>
    </x:row>
    <x:row r="105" ht="64" customHeight="1">
      <x:c r="A105" s="23" t="str">
        <x:v>P2P-FILE-0097</x:v>
      </x:c>
      <x:c r="B105" s="22" t="str">
        <x:v>Nén ngữ cảnh &amp; PXPIPE</x:v>
      </x:c>
      <x:c r="C105" s="22" t="str">
        <x:v>compression</x:v>
      </x:c>
      <x:c r="D105" s="22" t="str">
        <x:v>8.4.6-C/plugin/.claude/skills/p2p/compression.md</x:v>
      </x:c>
      <x:c r="E105" s="22"/>
      <x:c r="F105" s="23" t="str">
        <x:v>75193E42</x:v>
      </x:c>
      <x:c r="G105" s="23"/>
      <x:c r="H105" s="23" t="str">
        <x:f>IF($N$3&lt;&gt;"DONE","Chờ bản mới",IF(AND(D105="",E105=""),"",IF(D105="","Thêm mới",IF(E105="","Không còn",IF(AND(D105&lt;&gt;E105,F105=G105),"Đổi tên/di chuyển",IF(F105=G105,"Không đổi","Sửa nội dung"))))))</x:f>
        <x:v>Chờ bản mới</x:v>
      </x:c>
      <x:c r="I105" s="22" t="str">
        <x:v>Chờ phân tích khi có bản mới</x:v>
      </x:c>
      <x:c r="J105" s="22" t="str">
        <x:v>Giữ cả các file gốc trong source snapshot; runtime chỉ kích hoạt một bản canonical để tránh nạp kép.</x:v>
      </x:c>
      <x:c r="K105" s="22" t="str">
        <x:v>KEEP_SOURCE + TRANSLATE_SEMANTICS</x:v>
      </x:c>
      <x:c r="L105" s="22" t="str">
        <x:v>.agents/skills/p2p/references/legacy/compression.md</x:v>
      </x:c>
      <x:c r="M105" s="22" t="str">
        <x:v>CRC nguồn khớp; nội dung không mất; reference chỉ nạp khi cần; 3 ca parity và một ca không kích hoạt ngoài ý muốn.</x:v>
      </x:c>
      <x:c r="N105" s="22" t="str">
        <x:v>Chờ bản mới</x:v>
      </x:c>
      <x:c r="O105" s="22" t="str">
        <x:v>Không thấy rủi ro riêng ngoài yêu cầu parity và truy vết nguồn. Đích đề xuất ban đầu: skills/p2p/references/compression.md. Đích thực tế trong gói: .agents/skills/p2p/references/legacy/compression.md. Bằng chứng: SOURCE_HASH_VERIFIED; TARGET_PRESENT; ON_DEMAND_LOAD.</x:v>
      </x:c>
    </x:row>
    <x:row r="106" ht="64" customHeight="1">
      <x:c r="A106" s="23" t="str">
        <x:v>P2P-FILE-0098</x:v>
      </x:c>
      <x:c r="B106" s="22" t="str">
        <x:v>Prompt engineering &amp; QC</x:v>
      </x:c>
      <x:c r="C106" s="22" t="str">
        <x:v>contract</x:v>
      </x:c>
      <x:c r="D106" s="22" t="str">
        <x:v>8.4.6-C/plugin/.claude/skills/p2p/contract_builder.md</x:v>
      </x:c>
      <x:c r="E106" s="22"/>
      <x:c r="F106" s="23" t="str">
        <x:v>D5F8B2E4</x:v>
      </x:c>
      <x:c r="G106" s="23"/>
      <x:c r="H106" s="23" t="str">
        <x:f>IF($N$3&lt;&gt;"DONE","Chờ bản mới",IF(AND(D106="",E106=""),"",IF(D106="","Thêm mới",IF(E106="","Không còn",IF(AND(D106&lt;&gt;E106,F106=G106),"Đổi tên/di chuyển",IF(F106=G106,"Không đổi","Sửa nội dung"))))))</x:f>
        <x:v>Chờ bản mới</x:v>
      </x:c>
      <x:c r="I106" s="22" t="str">
        <x:v>Chờ phân tích khi có bản mới</x:v>
      </x:c>
      <x:c r="J106" s="22" t="str">
        <x:v>Giữ cả các file gốc trong source snapshot; runtime chỉ kích hoạt một bản canonical để tránh nạp kép.</x:v>
      </x:c>
      <x:c r="K106" s="22" t="str">
        <x:v>KEEP_SOURCE + TRANSLATE_SEMANTICS</x:v>
      </x:c>
      <x:c r="L106" s="22" t="str">
        <x:v>.agents/skills/p2p/references/legacy/contract_builder.md</x:v>
      </x:c>
      <x:c r="M106" s="22" t="str">
        <x:v>CRC nguồn khớp; nội dung không mất; reference chỉ nạp khi cần; 3 ca parity và một ca không kích hoạt ngoài ý muốn.</x:v>
      </x:c>
      <x:c r="N106" s="22" t="str">
        <x:v>Chờ bản mới</x:v>
      </x:c>
      <x:c r="O106" s="22" t="str">
        <x:v>Có giả định Claude/XML/model-specific; cần giữ ý nghĩa nhưng viết lại cơ chế cho Codex. Đích đề xuất ban đầu: skills/p2p/references/contract_builder.md. Đích thực tế trong gói: .agents/skills/p2p/references/legacy/contract_builder.md. Bằng chứng: SOURCE_HASH_VERIFIED; TARGET_PRESENT; ON_DEMAND_LOAD.</x:v>
      </x:c>
    </x:row>
    <x:row r="107" ht="64" customHeight="1">
      <x:c r="A107" s="23" t="str">
        <x:v>P2P-FILE-0099</x:v>
      </x:c>
      <x:c r="B107" s="22" t="str">
        <x:v>Lõi &amp; điều phối</x:v>
      </x:c>
      <x:c r="C107" s="22" t="str">
        <x:v>core</x:v>
      </x:c>
      <x:c r="D107" s="22" t="str">
        <x:v>8.4.6-C/plugin/.claude/skills/p2p/core.md</x:v>
      </x:c>
      <x:c r="E107" s="22"/>
      <x:c r="F107" s="23" t="str">
        <x:v>91E21BEA</x:v>
      </x:c>
      <x:c r="G107" s="23"/>
      <x:c r="H107" s="23" t="str">
        <x:f>IF($N$3&lt;&gt;"DONE","Chờ bản mới",IF(AND(D107="",E107=""),"",IF(D107="","Thêm mới",IF(E107="","Không còn",IF(AND(D107&lt;&gt;E107,F107=G107),"Đổi tên/di chuyển",IF(F107=G107,"Không đổi","Sửa nội dung"))))))</x:f>
        <x:v>Chờ bản mới</x:v>
      </x:c>
      <x:c r="I107" s="22" t="str">
        <x:v>Chờ phân tích khi có bản mới</x:v>
      </x:c>
      <x:c r="J107" s="22" t="str">
        <x:v>Giữ cả các file gốc trong source snapshot; runtime chỉ kích hoạt một bản canonical để tránh nạp kép.</x:v>
      </x:c>
      <x:c r="K107" s="22" t="str">
        <x:v>KEEP_SOURCE + SPLIT_AND_REWRITE</x:v>
      </x:c>
      <x:c r="L107" s="22" t="str">
        <x:v>.agents/skills/p2p/references/legacy/core.md</x:v>
      </x:c>
      <x:c r="M107" s="22" t="str">
        <x:v>CRC nguồn khớp; nội dung không mất; reference chỉ nạp khi cần; 3 ca parity và một ca không kích hoạt ngoài ý muốn.</x:v>
      </x:c>
      <x:c r="N107" s="22" t="str">
        <x:v>Chờ bản mới</x:v>
      </x:c>
      <x:c r="O107" s="22" t="str">
        <x:v>Có giả định Claude/XML/model-specific; cần giữ ý nghĩa nhưng viết lại cơ chế cho Codex. Đích đề xuất ban đầu: skills/p2p/references/core.md. Đích thực tế trong gói: .agents/skills/p2p/references/legacy/core.md. Bằng chứng: SOURCE_HASH_VERIFIED; TARGET_PRESENT; ON_DEMAND_LOAD.</x:v>
      </x:c>
    </x:row>
    <x:row r="108" ht="64" customHeight="1">
      <x:c r="A108" s="23" t="str">
        <x:v>P2P-FILE-0100</x:v>
      </x:c>
      <x:c r="B108" s="22" t="str">
        <x:v>Prompt engineering &amp; QC</x:v>
      </x:c>
      <x:c r="C108" s="22" t="str">
        <x:v>db</x:v>
      </x:c>
      <x:c r="D108" s="22" t="str">
        <x:v>8.4.6-C/plugin/.claude/skills/p2p/db.md</x:v>
      </x:c>
      <x:c r="E108" s="22"/>
      <x:c r="F108" s="23" t="str">
        <x:v>29A91513</x:v>
      </x:c>
      <x:c r="G108" s="23"/>
      <x:c r="H108" s="23" t="str">
        <x:f>IF($N$3&lt;&gt;"DONE","Chờ bản mới",IF(AND(D108="",E108=""),"",IF(D108="","Thêm mới",IF(E108="","Không còn",IF(AND(D108&lt;&gt;E108,F108=G108),"Đổi tên/di chuyển",IF(F108=G108,"Không đổi","Sửa nội dung"))))))</x:f>
        <x:v>Chờ bản mới</x:v>
      </x:c>
      <x:c r="I108" s="22" t="str">
        <x:v>Chờ phân tích khi có bản mới</x:v>
      </x:c>
      <x:c r="J108" s="22" t="str">
        <x:v>Giữ cả các file gốc trong source snapshot; runtime chỉ kích hoạt một bản canonical để tránh nạp kép.</x:v>
      </x:c>
      <x:c r="K108" s="22" t="str">
        <x:v>KEEP_SOURCE + TRANSLATE_SEMANTICS</x:v>
      </x:c>
      <x:c r="L108" s="22" t="str">
        <x:v>.agents/skills/p2p/references/legacy/db.md</x:v>
      </x:c>
      <x:c r="M108" s="22" t="str">
        <x:v>CRC nguồn khớp; nội dung không mất; reference chỉ nạp khi cần; 3 ca parity và một ca không kích hoạt ngoài ý muốn.</x:v>
      </x:c>
      <x:c r="N108" s="22" t="str">
        <x:v>Chờ bản mới</x:v>
      </x:c>
      <x:c r="O108" s="22" t="str">
        <x:v>Có giả định Claude/XML/model-specific; cần giữ ý nghĩa nhưng viết lại cơ chế cho Codex. Đích đề xuất ban đầu: skills/p2p/references/db.md. Đích thực tế trong gói: .agents/skills/p2p/references/legacy/db.md. Bằng chứng: SOURCE_HASH_VERIFIED; TARGET_PRESENT; ON_DEMAND_LOAD.</x:v>
      </x:c>
    </x:row>
    <x:row r="109" ht="64" customHeight="1">
      <x:c r="A109" s="23" t="str">
        <x:v>P2P-FILE-0101</x:v>
      </x:c>
      <x:c r="B109" s="22" t="str">
        <x:v>Prompt engineering &amp; QC</x:v>
      </x:c>
      <x:c r="C109" s="22" t="str">
        <x:v>debug</x:v>
      </x:c>
      <x:c r="D109" s="22" t="str">
        <x:v>8.4.6-C/plugin/.claude/skills/p2p/debug_engine.md</x:v>
      </x:c>
      <x:c r="E109" s="22"/>
      <x:c r="F109" s="23" t="str">
        <x:v>9F080211</x:v>
      </x:c>
      <x:c r="G109" s="23"/>
      <x:c r="H109" s="23" t="str">
        <x:f>IF($N$3&lt;&gt;"DONE","Chờ bản mới",IF(AND(D109="",E109=""),"",IF(D109="","Thêm mới",IF(E109="","Không còn",IF(AND(D109&lt;&gt;E109,F109=G109),"Đổi tên/di chuyển",IF(F109=G109,"Không đổi","Sửa nội dung"))))))</x:f>
        <x:v>Chờ bản mới</x:v>
      </x:c>
      <x:c r="I109" s="22" t="str">
        <x:v>Chờ phân tích khi có bản mới</x:v>
      </x:c>
      <x:c r="J109" s="22" t="str">
        <x:v>Giữ cả các file gốc trong source snapshot; runtime chỉ kích hoạt một bản canonical để tránh nạp kép.</x:v>
      </x:c>
      <x:c r="K109" s="22" t="str">
        <x:v>KEEP_SOURCE + TRANSLATE_SEMANTICS</x:v>
      </x:c>
      <x:c r="L109" s="22" t="str">
        <x:v>.agents/skills/p2p/references/legacy/debug_engine.md</x:v>
      </x:c>
      <x:c r="M109" s="22" t="str">
        <x:v>CRC nguồn khớp; nội dung không mất; reference chỉ nạp khi cần; 3 ca parity và một ca không kích hoạt ngoài ý muốn.</x:v>
      </x:c>
      <x:c r="N109" s="22" t="str">
        <x:v>Chờ bản mới</x:v>
      </x:c>
      <x:c r="O109" s="22" t="str">
        <x:v>Không thấy rủi ro riêng ngoài yêu cầu parity và truy vết nguồn. Đích đề xuất ban đầu: skills/p2p/references/debug_engine.md. Đích thực tế trong gói: .agents/skills/p2p/references/legacy/debug_engine.md. Bằng chứng: SOURCE_HASH_VERIFIED; TARGET_PRESENT; ON_DEMAND_LOAD.</x:v>
      </x:c>
    </x:row>
    <x:row r="110" ht="64" customHeight="1">
      <x:c r="A110" s="23" t="str">
        <x:v>P2P-FILE-0102</x:v>
      </x:c>
      <x:c r="B110" s="22" t="str">
        <x:v>Ngữ cảnh người dùng &amp; miền</x:v>
      </x:c>
      <x:c r="C110" s="22" t="str">
        <x:v>domain</x:v>
      </x:c>
      <x:c r="D110" s="22" t="str">
        <x:v>8.4.6-C/plugin/.claude/skills/p2p/domain_knowledge.md</x:v>
      </x:c>
      <x:c r="E110" s="22"/>
      <x:c r="F110" s="23" t="str">
        <x:v>6EB9EA74</x:v>
      </x:c>
      <x:c r="G110" s="23"/>
      <x:c r="H110" s="23" t="str">
        <x:f>IF($N$3&lt;&gt;"DONE","Chờ bản mới",IF(AND(D110="",E110=""),"",IF(D110="","Thêm mới",IF(E110="","Không còn",IF(AND(D110&lt;&gt;E110,F110=G110),"Đổi tên/di chuyển",IF(F110=G110,"Không đổi","Sửa nội dung"))))))</x:f>
        <x:v>Chờ bản mới</x:v>
      </x:c>
      <x:c r="I110" s="22" t="str">
        <x:v>Chờ phân tích khi có bản mới</x:v>
      </x:c>
      <x:c r="J110" s="22" t="str">
        <x:v>Giữ cả các file gốc trong source snapshot; runtime chỉ kích hoạt một bản canonical để tránh nạp kép.</x:v>
      </x:c>
      <x:c r="K110" s="22" t="str">
        <x:v>KEEP_SOURCE + TRANSLATE_SEMANTICS</x:v>
      </x:c>
      <x:c r="L110" s="22" t="str">
        <x:v>.agents/skills/p2p/references/legacy/domain_knowledge.md</x:v>
      </x:c>
      <x:c r="M110" s="22" t="str">
        <x:v>CRC nguồn khớp; nội dung không mất; reference chỉ nạp khi cần; 3 ca parity và một ca không kích hoạt ngoài ý muốn.</x:v>
      </x:c>
      <x:c r="N110" s="22" t="str">
        <x:v>Chờ bản mới</x:v>
      </x:c>
      <x:c r="O110" s="22" t="str">
        <x:v>Không thấy rủi ro riêng ngoài yêu cầu parity và truy vết nguồn. Đích đề xuất ban đầu: skills/p2p/references/domain_knowledge.md. Đích thực tế trong gói: .agents/skills/p2p/references/legacy/domain_knowledge.md. Bằng chứng: SOURCE_HASH_VERIFIED; TARGET_PRESENT; ON_DEMAND_LOAD.</x:v>
      </x:c>
    </x:row>
    <x:row r="111" ht="64" customHeight="1">
      <x:c r="A111" s="23" t="str">
        <x:v>P2P-FILE-0103</x:v>
      </x:c>
      <x:c r="B111" s="22" t="str">
        <x:v>RAG, reasoning &amp; tối ưu</x:v>
      </x:c>
      <x:c r="C111" s="22" t="str">
        <x:v>exploration</x:v>
      </x:c>
      <x:c r="D111" s="22" t="str">
        <x:v>8.4.6-C/plugin/.claude/skills/p2p/exploration_mode.md</x:v>
      </x:c>
      <x:c r="E111" s="22"/>
      <x:c r="F111" s="23" t="str">
        <x:v>4C265FA5</x:v>
      </x:c>
      <x:c r="G111" s="23"/>
      <x:c r="H111" s="23" t="str">
        <x:f>IF($N$3&lt;&gt;"DONE","Chờ bản mới",IF(AND(D111="",E111=""),"",IF(D111="","Thêm mới",IF(E111="","Không còn",IF(AND(D111&lt;&gt;E111,F111=G111),"Đổi tên/di chuyển",IF(F111=G111,"Không đổi","Sửa nội dung"))))))</x:f>
        <x:v>Chờ bản mới</x:v>
      </x:c>
      <x:c r="I111" s="22" t="str">
        <x:v>Chờ phân tích khi có bản mới</x:v>
      </x:c>
      <x:c r="J111" s="22" t="str">
        <x:v>Giữ cả các file gốc trong source snapshot; runtime chỉ kích hoạt một bản canonical để tránh nạp kép.</x:v>
      </x:c>
      <x:c r="K111" s="22" t="str">
        <x:v>KEEP_SOURCE + TRANSLATE_SEMANTICS</x:v>
      </x:c>
      <x:c r="L111" s="22" t="str">
        <x:v>.agents/skills/p2p/references/legacy/exploration_mode.md</x:v>
      </x:c>
      <x:c r="M111" s="22" t="str">
        <x:v>CRC nguồn khớp; nội dung không mất; reference chỉ nạp khi cần; 3 ca parity và một ca không kích hoạt ngoài ý muốn.</x:v>
      </x:c>
      <x:c r="N111" s="22" t="str">
        <x:v>Chờ bản mới</x:v>
      </x:c>
      <x:c r="O111" s="22" t="str">
        <x:v>Không thấy rủi ro riêng ngoài yêu cầu parity và truy vết nguồn. Đích đề xuất ban đầu: skills/p2p/references/exploration_mode.md. Đích thực tế trong gói: .agents/skills/p2p/references/legacy/exploration_mode.md. Bằng chứng: SOURCE_HASH_VERIFIED; TARGET_PRESENT; ON_DEMAND_LOAD.</x:v>
      </x:c>
    </x:row>
    <x:row r="112" ht="64" customHeight="1">
      <x:c r="A112" s="23" t="str">
        <x:v>P2P-FILE-0104</x:v>
      </x:c>
      <x:c r="B112" s="22" t="str">
        <x:v>Lõi &amp; điều phối</x:v>
      </x:c>
      <x:c r="C112" s="22" t="str">
        <x:v>global_index</x:v>
      </x:c>
      <x:c r="D112" s="22" t="str">
        <x:v>8.4.6-C/plugin/.claude/skills/p2p/global_index.md</x:v>
      </x:c>
      <x:c r="E112" s="22"/>
      <x:c r="F112" s="23" t="str">
        <x:v>CD0C7653</x:v>
      </x:c>
      <x:c r="G112" s="23"/>
      <x:c r="H112" s="23" t="str">
        <x:f>IF($N$3&lt;&gt;"DONE","Chờ bản mới",IF(AND(D112="",E112=""),"",IF(D112="","Thêm mới",IF(E112="","Không còn",IF(AND(D112&lt;&gt;E112,F112=G112),"Đổi tên/di chuyển",IF(F112=G112,"Không đổi","Sửa nội dung"))))))</x:f>
        <x:v>Chờ bản mới</x:v>
      </x:c>
      <x:c r="I112" s="22" t="str">
        <x:v>Chờ phân tích khi có bản mới</x:v>
      </x:c>
      <x:c r="J112" s="22" t="str">
        <x:v>Giữ cả các file gốc trong source snapshot; runtime chỉ kích hoạt một bản canonical để tránh nạp kép.</x:v>
      </x:c>
      <x:c r="K112" s="22" t="str">
        <x:v>KEEP_SOURCE + SPLIT_AND_REWRITE</x:v>
      </x:c>
      <x:c r="L112" s="22" t="str">
        <x:v>.agents/skills/p2p/references/legacy/global_index.md</x:v>
      </x:c>
      <x:c r="M112" s="22" t="str">
        <x:v>CRC nguồn khớp; nội dung không mất; reference chỉ nạp khi cần; 3 ca parity và một ca không kích hoạt ngoài ý muốn.</x:v>
      </x:c>
      <x:c r="N112" s="22" t="str">
        <x:v>Chờ bản mới</x:v>
      </x:c>
      <x:c r="O112" s="22" t="str">
        <x:v>Không thấy rủi ro riêng ngoài yêu cầu parity và truy vết nguồn. Đích đề xuất ban đầu: skills/p2p/references/global_index.md. Đích thực tế trong gói: .agents/skills/p2p/references/legacy/global_index.md. Bằng chứng: SOURCE_HASH_VERIFIED; TARGET_PRESENT; ON_DEMAND_LOAD.</x:v>
      </x:c>
    </x:row>
    <x:row r="113" ht="64" customHeight="1">
      <x:c r="A113" s="23" t="str">
        <x:v>P2P-FILE-0105</x:v>
      </x:c>
      <x:c r="B113" s="22" t="str">
        <x:v>Prompt engineering &amp; QC</x:v>
      </x:c>
      <x:c r="C113" s="22" t="str">
        <x:v>glossary</x:v>
      </x:c>
      <x:c r="D113" s="22" t="str">
        <x:v>8.4.6-C/plugin/.claude/skills/p2p/glossary.md</x:v>
      </x:c>
      <x:c r="E113" s="22"/>
      <x:c r="F113" s="23" t="str">
        <x:v>A9F39606</x:v>
      </x:c>
      <x:c r="G113" s="23"/>
      <x:c r="H113" s="23" t="str">
        <x:f>IF($N$3&lt;&gt;"DONE","Chờ bản mới",IF(AND(D113="",E113=""),"",IF(D113="","Thêm mới",IF(E113="","Không còn",IF(AND(D113&lt;&gt;E113,F113=G113),"Đổi tên/di chuyển",IF(F113=G113,"Không đổi","Sửa nội dung"))))))</x:f>
        <x:v>Chờ bản mới</x:v>
      </x:c>
      <x:c r="I113" s="22" t="str">
        <x:v>Chờ phân tích khi có bản mới</x:v>
      </x:c>
      <x:c r="J113" s="22" t="str">
        <x:v>Giữ cả các file gốc trong source snapshot; runtime chỉ kích hoạt một bản canonical để tránh nạp kép.</x:v>
      </x:c>
      <x:c r="K113" s="22" t="str">
        <x:v>KEEP_SOURCE + TRANSLATE_SEMANTICS</x:v>
      </x:c>
      <x:c r="L113" s="22" t="str">
        <x:v>.agents/skills/p2p/references/legacy/glossary.md</x:v>
      </x:c>
      <x:c r="M113" s="22" t="str">
        <x:v>CRC nguồn khớp; nội dung không mất; reference chỉ nạp khi cần; 3 ca parity và một ca không kích hoạt ngoài ý muốn.</x:v>
      </x:c>
      <x:c r="N113" s="22" t="str">
        <x:v>Chờ bản mới</x:v>
      </x:c>
      <x:c r="O113" s="22" t="str">
        <x:v>Không thấy rủi ro riêng ngoài yêu cầu parity và truy vết nguồn. Đích đề xuất ban đầu: skills/p2p/references/glossary.md. Đích thực tế trong gói: .agents/skills/p2p/references/legacy/glossary.md. Bằng chứng: SOURCE_HASH_VERIFIED; TARGET_PRESENT; ON_DEMAND_LOAD.</x:v>
      </x:c>
    </x:row>
    <x:row r="114" ht="64" customHeight="1">
      <x:c r="A114" s="23" t="str">
        <x:v>P2P-FILE-0106</x:v>
      </x:c>
      <x:c r="B114" s="22" t="str">
        <x:v>Prompt engineering &amp; QC</x:v>
      </x:c>
      <x:c r="C114" s="22" t="str">
        <x:v>intent</x:v>
      </x:c>
      <x:c r="D114" s="22" t="str">
        <x:v>8.4.6-C/plugin/.claude/skills/p2p/intent_engine.md</x:v>
      </x:c>
      <x:c r="E114" s="22"/>
      <x:c r="F114" s="23" t="str">
        <x:v>095DE7A9</x:v>
      </x:c>
      <x:c r="G114" s="23"/>
      <x:c r="H114" s="23" t="str">
        <x:f>IF($N$3&lt;&gt;"DONE","Chờ bản mới",IF(AND(D114="",E114=""),"",IF(D114="","Thêm mới",IF(E114="","Không còn",IF(AND(D114&lt;&gt;E114,F114=G114),"Đổi tên/di chuyển",IF(F114=G114,"Không đổi","Sửa nội dung"))))))</x:f>
        <x:v>Chờ bản mới</x:v>
      </x:c>
      <x:c r="I114" s="22" t="str">
        <x:v>Chờ phân tích khi có bản mới</x:v>
      </x:c>
      <x:c r="J114" s="22" t="str">
        <x:v>Giữ cả các file gốc trong source snapshot; runtime chỉ kích hoạt một bản canonical để tránh nạp kép.</x:v>
      </x:c>
      <x:c r="K114" s="22" t="str">
        <x:v>KEEP_SOURCE + TRANSLATE_SEMANTICS</x:v>
      </x:c>
      <x:c r="L114" s="22" t="str">
        <x:v>.agents/skills/p2p/references/legacy/intent_engine.md</x:v>
      </x:c>
      <x:c r="M114" s="22" t="str">
        <x:v>CRC nguồn khớp; nội dung không mất; reference chỉ nạp khi cần; 3 ca parity và một ca không kích hoạt ngoài ý muốn.</x:v>
      </x:c>
      <x:c r="N114" s="22" t="str">
        <x:v>Chờ bản mới</x:v>
      </x:c>
      <x:c r="O114" s="22" t="str">
        <x:v>Không thấy rủi ro riêng ngoài yêu cầu parity và truy vết nguồn. Đích đề xuất ban đầu: skills/p2p/references/intent_engine.md. Đích thực tế trong gói: .agents/skills/p2p/references/legacy/intent_engine.md. Bằng chứng: SOURCE_HASH_VERIFIED; TARGET_PRESENT; ON_DEMAND_LOAD.</x:v>
      </x:c>
    </x:row>
    <x:row r="115" ht="64" customHeight="1">
      <x:c r="A115" s="23" t="str">
        <x:v>P2P-FILE-0107</x:v>
      </x:c>
      <x:c r="B115" s="22" t="str">
        <x:v>Lõi &amp; điều phối</x:v>
      </x:c>
      <x:c r="C115" s="22" t="str">
        <x:v>master</x:v>
      </x:c>
      <x:c r="D115" s="22" t="str">
        <x:v>8.4.6-C/plugin/.claude/skills/p2p/master.md</x:v>
      </x:c>
      <x:c r="E115" s="22"/>
      <x:c r="F115" s="23" t="str">
        <x:v>9B3730D0</x:v>
      </x:c>
      <x:c r="G115" s="23"/>
      <x:c r="H115" s="23" t="str">
        <x:f>IF($N$3&lt;&gt;"DONE","Chờ bản mới",IF(AND(D115="",E115=""),"",IF(D115="","Thêm mới",IF(E115="","Không còn",IF(AND(D115&lt;&gt;E115,F115=G115),"Đổi tên/di chuyển",IF(F115=G115,"Không đổi","Sửa nội dung"))))))</x:f>
        <x:v>Chờ bản mới</x:v>
      </x:c>
      <x:c r="I115" s="22" t="str">
        <x:v>Chờ phân tích khi có bản mới</x:v>
      </x:c>
      <x:c r="J115" s="22" t="str">
        <x:v>Giữ cả các file gốc trong source snapshot; runtime chỉ kích hoạt một bản canonical để tránh nạp kép.</x:v>
      </x:c>
      <x:c r="K115" s="22" t="str">
        <x:v>KEEP_SOURCE + SPLIT_AND_REWRITE</x:v>
      </x:c>
      <x:c r="L115" s="22" t="str">
        <x:v>.agents/skills/p2p/references/legacy/master.md</x:v>
      </x:c>
      <x:c r="M115" s="22" t="str">
        <x:v>CRC nguồn khớp; nội dung không mất; reference chỉ nạp khi cần; 3 ca parity và một ca không kích hoạt ngoài ý muốn.</x:v>
      </x:c>
      <x:c r="N115" s="22" t="str">
        <x:v>Chờ bản mới</x:v>
      </x:c>
      <x:c r="O115" s="22" t="str">
        <x:v>Một số metadata còn nhắc v8C.2; cần ghi rõ là lịch sử/assembly cũ trước khi dùng. Đích đề xuất ban đầu: docs/api-assembly.md. Đích thực tế trong gói: .agents/skills/p2p/references/legacy/master.md. Bằng chứng: SOURCE_HASH_VERIFIED; TARGET_PRESENT; ON_DEMAND_LOAD.</x:v>
      </x:c>
    </x:row>
    <x:row r="116" ht="64" customHeight="1">
      <x:c r="A116" s="23" t="str">
        <x:v>P2P-FILE-0108</x:v>
      </x:c>
      <x:c r="B116" s="22" t="str">
        <x:v>Trạng thái, scope &amp; đo lường</x:v>
      </x:c>
      <x:c r="C116" s="22" t="str">
        <x:v>memory</x:v>
      </x:c>
      <x:c r="D116" s="22" t="str">
        <x:v>8.4.6-C/plugin/.claude/skills/p2p/memory_bridge.md</x:v>
      </x:c>
      <x:c r="E116" s="22"/>
      <x:c r="F116" s="23" t="str">
        <x:v>9829CC41</x:v>
      </x:c>
      <x:c r="G116" s="23"/>
      <x:c r="H116" s="23" t="str">
        <x:f>IF($N$3&lt;&gt;"DONE","Chờ bản mới",IF(AND(D116="",E116=""),"",IF(D116="","Thêm mới",IF(E116="","Không còn",IF(AND(D116&lt;&gt;E116,F116=G116),"Đổi tên/di chuyển",IF(F116=G116,"Không đổi","Sửa nội dung"))))))</x:f>
        <x:v>Chờ bản mới</x:v>
      </x:c>
      <x:c r="I116" s="22" t="str">
        <x:v>Chờ phân tích khi có bản mới</x:v>
      </x:c>
      <x:c r="J116" s="22" t="str">
        <x:v>Giữ cả các file gốc trong source snapshot; runtime chỉ kích hoạt một bản canonical để tránh nạp kép.</x:v>
      </x:c>
      <x:c r="K116" s="22" t="str">
        <x:v>KEEP_SOURCE + TRANSLATE_SEMANTICS</x:v>
      </x:c>
      <x:c r="L116" s="22" t="str">
        <x:v>.agents/skills/p2p/references/legacy/memory_bridge.md</x:v>
      </x:c>
      <x:c r="M116" s="22" t="str">
        <x:v>CRC nguồn khớp; nội dung không mất; reference chỉ nạp khi cần; 3 ca parity và một ca không kích hoạt ngoài ý muốn.</x:v>
      </x:c>
      <x:c r="N116" s="22" t="str">
        <x:v>Chờ bản mới</x:v>
      </x:c>
      <x:c r="O116" s="22" t="str">
        <x:v>Không hứa lưu bền qua phiên nếu chưa có storage/connector; cần nêu rõ phạm vi bộ nhớ. Đích đề xuất ban đầu: skills/p2p/references/memory_bridge.md. Đích thực tế trong gói: .agents/skills/p2p/references/legacy/memory_bridge.md. Bằng chứng: SOURCE_HASH_VERIFIED; TARGET_PRESENT; ON_DEMAND_LOAD.</x:v>
      </x:c>
    </x:row>
    <x:row r="117" ht="64" customHeight="1">
      <x:c r="A117" s="23" t="str">
        <x:v>P2P-FILE-0109</x:v>
      </x:c>
      <x:c r="B117" s="22" t="str">
        <x:v>Đào tạo &amp; hướng dẫn</x:v>
      </x:c>
      <x:c r="C117" s="22" t="str">
        <x:v>mentor</x:v>
      </x:c>
      <x:c r="D117" s="22" t="str">
        <x:v>8.4.6-C/plugin/.claude/skills/p2p/mentor_method.md</x:v>
      </x:c>
      <x:c r="E117" s="22"/>
      <x:c r="F117" s="23" t="str">
        <x:v>3840E346</x:v>
      </x:c>
      <x:c r="G117" s="23"/>
      <x:c r="H117" s="23" t="str">
        <x:f>IF($N$3&lt;&gt;"DONE","Chờ bản mới",IF(AND(D117="",E117=""),"",IF(D117="","Thêm mới",IF(E117="","Không còn",IF(AND(D117&lt;&gt;E117,F117=G117),"Đổi tên/di chuyển",IF(F117=G117,"Không đổi","Sửa nội dung"))))))</x:f>
        <x:v>Chờ bản mới</x:v>
      </x:c>
      <x:c r="I117" s="22" t="str">
        <x:v>Chờ phân tích khi có bản mới</x:v>
      </x:c>
      <x:c r="J117" s="22" t="str">
        <x:v>Giữ cả các file gốc trong source snapshot; runtime chỉ kích hoạt một bản canonical để tránh nạp kép.</x:v>
      </x:c>
      <x:c r="K117" s="22" t="str">
        <x:v>KEEP_SOURCE + TRANSLATE_SEMANTICS</x:v>
      </x:c>
      <x:c r="L117" s="22" t="str">
        <x:v>.agents/skills/p2p/references/legacy/mentor_method.md</x:v>
      </x:c>
      <x:c r="M117" s="22" t="str">
        <x:v>CRC nguồn khớp; nội dung không mất; reference chỉ nạp khi cần; 3 ca parity và một ca không kích hoạt ngoài ý muốn.</x:v>
      </x:c>
      <x:c r="N117" s="22" t="str">
        <x:v>Chờ bản mới</x:v>
      </x:c>
      <x:c r="O117" s="22" t="str">
        <x:v>Không thấy rủi ro riêng ngoài yêu cầu parity và truy vết nguồn. Đích đề xuất ban đầu: skills/p2p/references/mentor_method.md. Đích thực tế trong gói: .agents/skills/p2p/references/legacy/mentor_method.md. Bằng chứng: SOURCE_HASH_VERIFIED; TARGET_PRESENT; ON_DEMAND_LOAD.</x:v>
      </x:c>
    </x:row>
    <x:row r="118" ht="64" customHeight="1">
      <x:c r="A118" s="23" t="str">
        <x:v>P2P-FILE-0110</x:v>
      </x:c>
      <x:c r="B118" s="22" t="str">
        <x:v>RAG, reasoning &amp; tối ưu</x:v>
      </x:c>
      <x:c r="C118" s="22" t="str">
        <x:v>optimization</x:v>
      </x:c>
      <x:c r="D118" s="22" t="str">
        <x:v>8.4.6-C/plugin/.claude/skills/p2p/optimization.md</x:v>
      </x:c>
      <x:c r="E118" s="22"/>
      <x:c r="F118" s="23" t="str">
        <x:v>ECA29788</x:v>
      </x:c>
      <x:c r="G118" s="23"/>
      <x:c r="H118" s="23" t="str">
        <x:f>IF($N$3&lt;&gt;"DONE","Chờ bản mới",IF(AND(D118="",E118=""),"",IF(D118="","Thêm mới",IF(E118="","Không còn",IF(AND(D118&lt;&gt;E118,F118=G118),"Đổi tên/di chuyển",IF(F118=G118,"Không đổi","Sửa nội dung"))))))</x:f>
        <x:v>Chờ bản mới</x:v>
      </x:c>
      <x:c r="I118" s="22" t="str">
        <x:v>Chờ phân tích khi có bản mới</x:v>
      </x:c>
      <x:c r="J118" s="22" t="str">
        <x:v>Giữ cả các file gốc trong source snapshot; runtime chỉ kích hoạt một bản canonical để tránh nạp kép.</x:v>
      </x:c>
      <x:c r="K118" s="22" t="str">
        <x:v>KEEP_SOURCE + TRANSLATE_SEMANTICS</x:v>
      </x:c>
      <x:c r="L118" s="22" t="str">
        <x:v>.agents/skills/p2p/references/legacy/optimization.md</x:v>
      </x:c>
      <x:c r="M118" s="22" t="str">
        <x:v>CRC nguồn khớp; nội dung không mất; reference chỉ nạp khi cần; 3 ca parity và một ca không kích hoạt ngoài ý muốn.</x:v>
      </x:c>
      <x:c r="N118" s="22" t="str">
        <x:v>Chờ bản mới</x:v>
      </x:c>
      <x:c r="O118" s="22" t="str">
        <x:v>Không thấy rủi ro riêng ngoài yêu cầu parity và truy vết nguồn. Đích đề xuất ban đầu: skills/p2p/references/optimization.md. Đích thực tế trong gói: .agents/skills/p2p/references/legacy/optimization.md. Bằng chứng: SOURCE_HASH_VERIFIED; TARGET_PRESENT; ON_DEMAND_LOAD.</x:v>
      </x:c>
    </x:row>
    <x:row r="119" ht="64" customHeight="1">
      <x:c r="A119" s="23" t="str">
        <x:v>P2P-FILE-0111</x:v>
      </x:c>
      <x:c r="B119" s="22" t="str">
        <x:v>Trạng thái, scope &amp; đo lường</x:v>
      </x:c>
      <x:c r="C119" s="22" t="str">
        <x:v>p2p_config</x:v>
      </x:c>
      <x:c r="D119" s="22" t="str">
        <x:v>8.4.6-C/plugin/.claude/skills/p2p/p2p.config.md</x:v>
      </x:c>
      <x:c r="E119" s="22"/>
      <x:c r="F119" s="23" t="str">
        <x:v>EA9ED561</x:v>
      </x:c>
      <x:c r="G119" s="23"/>
      <x:c r="H119" s="23" t="str">
        <x:f>IF($N$3&lt;&gt;"DONE","Chờ bản mới",IF(AND(D119="",E119=""),"",IF(D119="","Thêm mới",IF(E119="","Không còn",IF(AND(D119&lt;&gt;E119,F119=G119),"Đổi tên/di chuyển",IF(F119=G119,"Không đổi","Sửa nội dung"))))))</x:f>
        <x:v>Chờ bản mới</x:v>
      </x:c>
      <x:c r="I119" s="22" t="str">
        <x:v>Chờ phân tích khi có bản mới</x:v>
      </x:c>
      <x:c r="J119" s="22" t="str">
        <x:v>Giữ nguyên byte trong source/8.4.6-C; bản Codex ghi đường dẫn nguồn và CRC.</x:v>
      </x:c>
      <x:c r="K119" s="22" t="str">
        <x:v>KEEP_SOURCE + SPLIT_AND_REWRITE</x:v>
      </x:c>
      <x:c r="L119" s="22" t="str">
        <x:v>.agents/skills/p2p/assets/p2p-project.template.md</x:v>
      </x:c>
      <x:c r="M119" s="22" t="str">
        <x:v>CRC nguồn khớp; nội dung không mất; reference chỉ nạp khi cần; 3 ca parity và một ca không kích hoạt ngoài ý muốn.</x:v>
      </x:c>
      <x:c r="N119" s="22" t="str">
        <x:v>Chờ bản mới</x:v>
      </x:c>
      <x:c r="O119" s="22" t="str">
        <x:v>Không thấy rủi ro riêng ngoài yêu cầu parity và truy vết nguồn. Đích đề xuất ban đầu: skills/p2p/assets/p2p-project.template.md. Đích thực tế trong gói: .agents/skills/p2p/assets/p2p-project.template.md. Bằng chứng: TARGET_PRESENT; SKILL_VALIDATOR_PASS.</x:v>
      </x:c>
    </x:row>
    <x:row r="120" ht="64" customHeight="1">
      <x:c r="A120" s="23" t="str">
        <x:v>P2P-FILE-0112</x:v>
      </x:c>
      <x:c r="B120" s="22" t="str">
        <x:v>Lõi &amp; điều phối</x:v>
      </x:c>
      <x:c r="C120" s="22" t="str">
        <x:v>preloader</x:v>
      </x:c>
      <x:c r="D120" s="22" t="str">
        <x:v>8.4.6-C/plugin/.claude/skills/p2p/preloader.md</x:v>
      </x:c>
      <x:c r="E120" s="22"/>
      <x:c r="F120" s="23" t="str">
        <x:v>E13DCC1A</x:v>
      </x:c>
      <x:c r="G120" s="23"/>
      <x:c r="H120" s="23" t="str">
        <x:f>IF($N$3&lt;&gt;"DONE","Chờ bản mới",IF(AND(D120="",E120=""),"",IF(D120="","Thêm mới",IF(E120="","Không còn",IF(AND(D120&lt;&gt;E120,F120=G120),"Đổi tên/di chuyển",IF(F120=G120,"Không đổi","Sửa nội dung"))))))</x:f>
        <x:v>Chờ bản mới</x:v>
      </x:c>
      <x:c r="I120" s="22" t="str">
        <x:v>Chờ phân tích khi có bản mới</x:v>
      </x:c>
      <x:c r="J120" s="22" t="str">
        <x:v>Giữ cả các file gốc trong source snapshot; runtime chỉ kích hoạt một bản canonical để tránh nạp kép.</x:v>
      </x:c>
      <x:c r="K120" s="22" t="str">
        <x:v>KEEP_SOURCE + SPLIT_AND_REWRITE</x:v>
      </x:c>
      <x:c r="L120" s="22" t="str">
        <x:v>.agents/skills/p2p/references/legacy/preloader.md</x:v>
      </x:c>
      <x:c r="M120" s="22" t="str">
        <x:v>CRC nguồn khớp; nội dung không mất; reference chỉ nạp khi cần; 3 ca parity và một ca không kích hoạt ngoài ý muốn.</x:v>
      </x:c>
      <x:c r="N120" s="22" t="str">
        <x:v>Chờ bản mới</x:v>
      </x:c>
      <x:c r="O120" s="22" t="str">
        <x:v>Không thấy rủi ro riêng ngoài yêu cầu parity và truy vết nguồn. Đích đề xuất ban đầu: skills/p2p/references/preloader.md. Đích thực tế trong gói: .agents/skills/p2p/references/legacy/preloader.md. Bằng chứng: SOURCE_HASH_VERIFIED; TARGET_PRESENT; ON_DEMAND_LOAD.</x:v>
      </x:c>
    </x:row>
    <x:row r="121" ht="64" customHeight="1">
      <x:c r="A121" s="23" t="str">
        <x:v>P2P-FILE-0113</x:v>
      </x:c>
      <x:c r="B121" s="22" t="str">
        <x:v>RAG, reasoning &amp; tối ưu</x:v>
      </x:c>
      <x:c r="C121" s="22" t="str">
        <x:v>rag</x:v>
      </x:c>
      <x:c r="D121" s="22" t="str">
        <x:v>8.4.6-C/plugin/.claude/skills/p2p/rag.md</x:v>
      </x:c>
      <x:c r="E121" s="22"/>
      <x:c r="F121" s="23" t="str">
        <x:v>1CA4C937</x:v>
      </x:c>
      <x:c r="G121" s="23"/>
      <x:c r="H121" s="23" t="str">
        <x:f>IF($N$3&lt;&gt;"DONE","Chờ bản mới",IF(AND(D121="",E121=""),"",IF(D121="","Thêm mới",IF(E121="","Không còn",IF(AND(D121&lt;&gt;E121,F121=G121),"Đổi tên/di chuyển",IF(F121=G121,"Không đổi","Sửa nội dung"))))))</x:f>
        <x:v>Chờ bản mới</x:v>
      </x:c>
      <x:c r="I121" s="22" t="str">
        <x:v>Chờ phân tích khi có bản mới</x:v>
      </x:c>
      <x:c r="J121" s="22" t="str">
        <x:v>Giữ cả các file gốc trong source snapshot; runtime chỉ kích hoạt một bản canonical để tránh nạp kép.</x:v>
      </x:c>
      <x:c r="K121" s="22" t="str">
        <x:v>KEEP_SOURCE + TRANSLATE_SEMANTICS</x:v>
      </x:c>
      <x:c r="L121" s="22" t="str">
        <x:v>.agents/skills/p2p/references/legacy/rag.md</x:v>
      </x:c>
      <x:c r="M121" s="22" t="str">
        <x:v>CRC nguồn khớp; nội dung không mất; reference chỉ nạp khi cần; 3 ca parity và một ca không kích hoạt ngoài ý muốn.</x:v>
      </x:c>
      <x:c r="N121" s="22" t="str">
        <x:v>Chờ bản mới</x:v>
      </x:c>
      <x:c r="O121" s="22" t="str">
        <x:v>Không thấy rủi ro riêng ngoài yêu cầu parity và truy vết nguồn. Đích đề xuất ban đầu: skills/p2p/references/rag.md. Đích thực tế trong gói: .agents/skills/p2p/references/legacy/rag.md. Bằng chứng: SOURCE_HASH_VERIFIED; TARGET_PRESENT; ON_DEMAND_LOAD.</x:v>
      </x:c>
    </x:row>
    <x:row r="122" ht="64" customHeight="1">
      <x:c r="A122" s="23" t="str">
        <x:v>P2P-FILE-0114</x:v>
      </x:c>
      <x:c r="B122" s="22" t="str">
        <x:v>RAG, reasoning &amp; tối ưu</x:v>
      </x:c>
      <x:c r="C122" s="22" t="str">
        <x:v>reasoning</x:v>
      </x:c>
      <x:c r="D122" s="22" t="str">
        <x:v>8.4.6-C/plugin/.claude/skills/p2p/reasoning.md</x:v>
      </x:c>
      <x:c r="E122" s="22"/>
      <x:c r="F122" s="23" t="str">
        <x:v>D3C8ED31</x:v>
      </x:c>
      <x:c r="G122" s="23"/>
      <x:c r="H122" s="23" t="str">
        <x:f>IF($N$3&lt;&gt;"DONE","Chờ bản mới",IF(AND(D122="",E122=""),"",IF(D122="","Thêm mới",IF(E122="","Không còn",IF(AND(D122&lt;&gt;E122,F122=G122),"Đổi tên/di chuyển",IF(F122=G122,"Không đổi","Sửa nội dung"))))))</x:f>
        <x:v>Chờ bản mới</x:v>
      </x:c>
      <x:c r="I122" s="22" t="str">
        <x:v>Chờ phân tích khi có bản mới</x:v>
      </x:c>
      <x:c r="J122" s="22" t="str">
        <x:v>Giữ cả các file gốc trong source snapshot; runtime chỉ kích hoạt một bản canonical để tránh nạp kép.</x:v>
      </x:c>
      <x:c r="K122" s="22" t="str">
        <x:v>KEEP_SOURCE + TRANSLATE_SEMANTICS</x:v>
      </x:c>
      <x:c r="L122" s="22" t="str">
        <x:v>.agents/skills/p2p/references/legacy/reasoning.md</x:v>
      </x:c>
      <x:c r="M122" s="22" t="str">
        <x:v>CRC nguồn khớp; nội dung không mất; reference chỉ nạp khi cần; 3 ca parity và một ca không kích hoạt ngoài ý muốn.</x:v>
      </x:c>
      <x:c r="N122" s="22" t="str">
        <x:v>Chờ bản mới</x:v>
      </x:c>
      <x:c r="O122" s="22" t="str">
        <x:v>Không thấy rủi ro riêng ngoài yêu cầu parity và truy vết nguồn. Đích đề xuất ban đầu: skills/p2p/references/reasoning.md. Đích thực tế trong gói: .agents/skills/p2p/references/legacy/reasoning.md. Bằng chứng: SOURCE_HASH_VERIFIED; TARGET_PRESENT; ON_DEMAND_LOAD.</x:v>
      </x:c>
    </x:row>
    <x:row r="123" ht="64" customHeight="1">
      <x:c r="A123" s="23" t="str">
        <x:v>P2P-FILE-0115</x:v>
      </x:c>
      <x:c r="B123" s="22" t="str">
        <x:v>RAG, reasoning &amp; tối ưu</x:v>
      </x:c>
      <x:c r="C123" s="22" t="str">
        <x:v>routing</x:v>
      </x:c>
      <x:c r="D123" s="22" t="str">
        <x:v>8.4.6-C/plugin/.claude/skills/p2p/routing.md</x:v>
      </x:c>
      <x:c r="E123" s="22"/>
      <x:c r="F123" s="23" t="str">
        <x:v>28433D4E</x:v>
      </x:c>
      <x:c r="G123" s="23"/>
      <x:c r="H123" s="23" t="str">
        <x:f>IF($N$3&lt;&gt;"DONE","Chờ bản mới",IF(AND(D123="",E123=""),"",IF(D123="","Thêm mới",IF(E123="","Không còn",IF(AND(D123&lt;&gt;E123,F123=G123),"Đổi tên/di chuyển",IF(F123=G123,"Không đổi","Sửa nội dung"))))))</x:f>
        <x:v>Chờ bản mới</x:v>
      </x:c>
      <x:c r="I123" s="22" t="str">
        <x:v>Chờ phân tích khi có bản mới</x:v>
      </x:c>
      <x:c r="J123" s="22" t="str">
        <x:v>Giữ cả các file gốc trong source snapshot; runtime chỉ kích hoạt một bản canonical để tránh nạp kép.</x:v>
      </x:c>
      <x:c r="K123" s="22" t="str">
        <x:v>KEEP_SOURCE + TRANSLATE_SEMANTICS</x:v>
      </x:c>
      <x:c r="L123" s="22" t="str">
        <x:v>.agents/skills/p2p/references/legacy/routing.md</x:v>
      </x:c>
      <x:c r="M123" s="22" t="str">
        <x:v>CRC nguồn khớp; nội dung không mất; reference chỉ nạp khi cần; 3 ca parity và một ca không kích hoạt ngoài ý muốn.</x:v>
      </x:c>
      <x:c r="N123" s="22" t="str">
        <x:v>Chờ bản mới</x:v>
      </x:c>
      <x:c r="O123" s="22" t="str">
        <x:v>Có giả định Claude/XML/model-specific; cần giữ ý nghĩa nhưng viết lại cơ chế cho Codex. Đích đề xuất ban đầu: skills/p2p/references/routing.md. Đích thực tế trong gói: .agents/skills/p2p/references/legacy/routing.md. Bằng chứng: SOURCE_HASH_VERIFIED; TARGET_PRESENT; ON_DEMAND_LOAD.</x:v>
      </x:c>
    </x:row>
    <x:row r="124" ht="64" customHeight="1">
      <x:c r="A124" s="23" t="str">
        <x:v>P2P-FILE-0116</x:v>
      </x:c>
      <x:c r="B124" s="22" t="str">
        <x:v>An toàn &amp; quyền kiểm soát</x:v>
      </x:c>
      <x:c r="C124" s="22" t="str">
        <x:v>sandbox</x:v>
      </x:c>
      <x:c r="D124" s="22" t="str">
        <x:v>8.4.6-C/plugin/.claude/skills/p2p/sandbox_user.md</x:v>
      </x:c>
      <x:c r="E124" s="22"/>
      <x:c r="F124" s="23" t="str">
        <x:v>AC55343F</x:v>
      </x:c>
      <x:c r="G124" s="23"/>
      <x:c r="H124" s="23" t="str">
        <x:f>IF($N$3&lt;&gt;"DONE","Chờ bản mới",IF(AND(D124="",E124=""),"",IF(D124="","Thêm mới",IF(E124="","Không còn",IF(AND(D124&lt;&gt;E124,F124=G124),"Đổi tên/di chuyển",IF(F124=G124,"Không đổi","Sửa nội dung"))))))</x:f>
        <x:v>Chờ bản mới</x:v>
      </x:c>
      <x:c r="I124" s="22" t="str">
        <x:v>Chờ phân tích khi có bản mới</x:v>
      </x:c>
      <x:c r="J124" s="22" t="str">
        <x:v>Giữ cả các file gốc trong source snapshot; runtime chỉ kích hoạt một bản canonical để tránh nạp kép.</x:v>
      </x:c>
      <x:c r="K124" s="22" t="str">
        <x:v>KEEP_SOURCE + TRANSLATE_SEMANTICS</x:v>
      </x:c>
      <x:c r="L124" s="22" t="str">
        <x:v>.agents/skills/p2p/references/legacy/sandbox_user.md</x:v>
      </x:c>
      <x:c r="M124" s="22" t="str">
        <x:v>CRC nguồn khớp; nội dung không mất; reference chỉ nạp khi cần; 3 ca parity và một ca không kích hoạt ngoài ý muốn.</x:v>
      </x:c>
      <x:c r="N124" s="22" t="str">
        <x:v>Chờ bản mới</x:v>
      </x:c>
      <x:c r="O124" s="22" t="str">
        <x:v>Không thấy rủi ro riêng ngoài yêu cầu parity và truy vết nguồn. Đích đề xuất ban đầu: skills/p2p/references/sandbox_user.md. Đích thực tế trong gói: .agents/skills/p2p/references/legacy/sandbox_user.md. Bằng chứng: SOURCE_HASH_VERIFIED; TARGET_PRESENT; ON_DEMAND_LOAD.</x:v>
      </x:c>
    </x:row>
    <x:row r="125" ht="64" customHeight="1">
      <x:c r="A125" s="23" t="str">
        <x:v>P2P-FILE-0117</x:v>
      </x:c>
      <x:c r="B125" s="22" t="str">
        <x:v>Trạng thái, scope &amp; đo lường</x:v>
      </x:c>
      <x:c r="C125" s="22" t="str">
        <x:v>scope</x:v>
      </x:c>
      <x:c r="D125" s="22" t="str">
        <x:v>8.4.6-C/plugin/.claude/skills/p2p/scope_helm.md</x:v>
      </x:c>
      <x:c r="E125" s="22"/>
      <x:c r="F125" s="23" t="str">
        <x:v>FCCA620F</x:v>
      </x:c>
      <x:c r="G125" s="23"/>
      <x:c r="H125" s="23" t="str">
        <x:f>IF($N$3&lt;&gt;"DONE","Chờ bản mới",IF(AND(D125="",E125=""),"",IF(D125="","Thêm mới",IF(E125="","Không còn",IF(AND(D125&lt;&gt;E125,F125=G125),"Đổi tên/di chuyển",IF(F125=G125,"Không đổi","Sửa nội dung"))))))</x:f>
        <x:v>Chờ bản mới</x:v>
      </x:c>
      <x:c r="I125" s="22" t="str">
        <x:v>Chờ phân tích khi có bản mới</x:v>
      </x:c>
      <x:c r="J125" s="22" t="str">
        <x:v>Giữ cả các file gốc trong source snapshot; runtime chỉ kích hoạt một bản canonical để tránh nạp kép.</x:v>
      </x:c>
      <x:c r="K125" s="22" t="str">
        <x:v>KEEP_SOURCE + TRANSLATE_SEMANTICS</x:v>
      </x:c>
      <x:c r="L125" s="22" t="str">
        <x:v>.agents/skills/p2p/references/legacy/scope_helm.md</x:v>
      </x:c>
      <x:c r="M125" s="22" t="str">
        <x:v>CRC nguồn khớp; nội dung không mất; reference chỉ nạp khi cần; 3 ca parity và một ca không kích hoạt ngoài ý muốn.</x:v>
      </x:c>
      <x:c r="N125" s="22" t="str">
        <x:v>Chờ bản mới</x:v>
      </x:c>
      <x:c r="O125" s="22" t="str">
        <x:v>Không thấy rủi ro riêng ngoài yêu cầu parity và truy vết nguồn. Đích đề xuất ban đầu: skills/p2p/references/scope_helm.md. Đích thực tế trong gói: .agents/skills/p2p/references/legacy/scope_helm.md. Bằng chứng: SOURCE_HASH_VERIFIED; TARGET_PRESENT; ON_DEMAND_LOAD.</x:v>
      </x:c>
    </x:row>
    <x:row r="126" ht="64" customHeight="1">
      <x:c r="A126" s="23" t="str">
        <x:v>P2P-FILE-0118</x:v>
      </x:c>
      <x:c r="B126" s="22" t="str">
        <x:v>An toàn &amp; quyền kiểm soát</x:v>
      </x:c>
      <x:c r="C126" s="22" t="str">
        <x:v>security</x:v>
      </x:c>
      <x:c r="D126" s="22" t="str">
        <x:v>8.4.6-C/plugin/.claude/skills/p2p/security.md</x:v>
      </x:c>
      <x:c r="E126" s="22"/>
      <x:c r="F126" s="23" t="str">
        <x:v>21F7B7AC</x:v>
      </x:c>
      <x:c r="G126" s="23"/>
      <x:c r="H126" s="23" t="str">
        <x:f>IF($N$3&lt;&gt;"DONE","Chờ bản mới",IF(AND(D126="",E126=""),"",IF(D126="","Thêm mới",IF(E126="","Không còn",IF(AND(D126&lt;&gt;E126,F126=G126),"Đổi tên/di chuyển",IF(F126=G126,"Không đổi","Sửa nội dung"))))))</x:f>
        <x:v>Chờ bản mới</x:v>
      </x:c>
      <x:c r="I126" s="22" t="str">
        <x:v>Chờ phân tích khi có bản mới</x:v>
      </x:c>
      <x:c r="J126" s="22" t="str">
        <x:v>Giữ cả các file gốc trong source snapshot; runtime chỉ kích hoạt một bản canonical để tránh nạp kép.</x:v>
      </x:c>
      <x:c r="K126" s="22" t="str">
        <x:v>KEEP_SOURCE + TRANSLATE_SEMANTICS</x:v>
      </x:c>
      <x:c r="L126" s="22" t="str">
        <x:v>.agents/skills/p2p/references/legacy/security.md</x:v>
      </x:c>
      <x:c r="M126" s="22" t="str">
        <x:v>CRC nguồn khớp; nội dung không mất; reference chỉ nạp khi cần; 3 ca parity và một ca không kích hoạt ngoài ý muốn.</x:v>
      </x:c>
      <x:c r="N126" s="22" t="str">
        <x:v>Chờ bản mới</x:v>
      </x:c>
      <x:c r="O126" s="22" t="str">
        <x:v>Không thấy rủi ro riêng ngoài yêu cầu parity và truy vết nguồn. Đích đề xuất ban đầu: skills/p2p/references/security.md. Đích thực tế trong gói: .agents/skills/p2p/references/legacy/security.md. Bằng chứng: SOURCE_HASH_VERIFIED; TARGET_PRESENT; ON_DEMAND_LOAD.</x:v>
      </x:c>
    </x:row>
    <x:row r="127" ht="64" customHeight="1">
      <x:c r="A127" s="23" t="str">
        <x:v>P2P-FILE-0119</x:v>
      </x:c>
      <x:c r="B127" s="22" t="str">
        <x:v>Trạng thái, scope &amp; đo lường</x:v>
      </x:c>
      <x:c r="C127" s="22" t="str">
        <x:v>metrics</x:v>
      </x:c>
      <x:c r="D127" s="22" t="str">
        <x:v>8.4.6-C/plugin/.claude/skills/p2p/session_metrics.md</x:v>
      </x:c>
      <x:c r="E127" s="22"/>
      <x:c r="F127" s="23" t="str">
        <x:v>CB597F39</x:v>
      </x:c>
      <x:c r="G127" s="23"/>
      <x:c r="H127" s="23" t="str">
        <x:f>IF($N$3&lt;&gt;"DONE","Chờ bản mới",IF(AND(D127="",E127=""),"",IF(D127="","Thêm mới",IF(E127="","Không còn",IF(AND(D127&lt;&gt;E127,F127=G127),"Đổi tên/di chuyển",IF(F127=G127,"Không đổi","Sửa nội dung"))))))</x:f>
        <x:v>Chờ bản mới</x:v>
      </x:c>
      <x:c r="I127" s="22" t="str">
        <x:v>Chờ phân tích khi có bản mới</x:v>
      </x:c>
      <x:c r="J127" s="22" t="str">
        <x:v>Giữ cả các file gốc trong source snapshot; runtime chỉ kích hoạt một bản canonical để tránh nạp kép.</x:v>
      </x:c>
      <x:c r="K127" s="22" t="str">
        <x:v>KEEP_SOURCE + TRANSLATE_SEMANTICS</x:v>
      </x:c>
      <x:c r="L127" s="22" t="str">
        <x:v>.agents/skills/p2p/references/legacy/session_metrics.md</x:v>
      </x:c>
      <x:c r="M127" s="22" t="str">
        <x:v>CRC nguồn khớp; nội dung không mất; reference chỉ nạp khi cần; 3 ca parity và một ca không kích hoạt ngoài ý muốn.</x:v>
      </x:c>
      <x:c r="N127" s="22" t="str">
        <x:v>Chờ bản mới</x:v>
      </x:c>
      <x:c r="O127" s="22" t="str">
        <x:v>Không hứa lưu bền qua phiên nếu chưa có storage/connector; cần nêu rõ phạm vi bộ nhớ. Đích đề xuất ban đầu: skills/p2p/references/session_metrics.md. Đích thực tế trong gói: .agents/skills/p2p/references/legacy/session_metrics.md. Bằng chứng: SOURCE_HASH_VERIFIED; TARGET_PRESENT; ON_DEMAND_LOAD.</x:v>
      </x:c>
    </x:row>
    <x:row r="128" ht="64" customHeight="1">
      <x:c r="A128" s="23" t="str">
        <x:v>P2P-FILE-0120</x:v>
      </x:c>
      <x:c r="B128" s="22" t="str">
        <x:v>Đào tạo &amp; hướng dẫn</x:v>
      </x:c>
      <x:c r="C128" s="22" t="str">
        <x:v>teacher</x:v>
      </x:c>
      <x:c r="D128" s="22" t="str">
        <x:v>8.4.6-C/plugin/.claude/skills/p2p/teacher.md</x:v>
      </x:c>
      <x:c r="E128" s="22"/>
      <x:c r="F128" s="23" t="str">
        <x:v>85F89410</x:v>
      </x:c>
      <x:c r="G128" s="23"/>
      <x:c r="H128" s="23" t="str">
        <x:f>IF($N$3&lt;&gt;"DONE","Chờ bản mới",IF(AND(D128="",E128=""),"",IF(D128="","Thêm mới",IF(E128="","Không còn",IF(AND(D128&lt;&gt;E128,F128=G128),"Đổi tên/di chuyển",IF(F128=G128,"Không đổi","Sửa nội dung"))))))</x:f>
        <x:v>Chờ bản mới</x:v>
      </x:c>
      <x:c r="I128" s="22" t="str">
        <x:v>Chờ phân tích khi có bản mới</x:v>
      </x:c>
      <x:c r="J128" s="22" t="str">
        <x:v>Giữ cả các file gốc trong source snapshot; runtime chỉ kích hoạt một bản canonical để tránh nạp kép.</x:v>
      </x:c>
      <x:c r="K128" s="22" t="str">
        <x:v>KEEP_SOURCE + TRANSLATE_SEMANTICS</x:v>
      </x:c>
      <x:c r="L128" s="22" t="str">
        <x:v>.agents/skills/p2p/references/legacy/teacher.md</x:v>
      </x:c>
      <x:c r="M128" s="22" t="str">
        <x:v>CRC nguồn khớp; nội dung không mất; reference chỉ nạp khi cần; 3 ca parity và một ca không kích hoạt ngoài ý muốn.</x:v>
      </x:c>
      <x:c r="N128" s="22" t="str">
        <x:v>Chờ bản mới</x:v>
      </x:c>
      <x:c r="O128" s="22" t="str">
        <x:v>Không thấy rủi ro riêng ngoài yêu cầu parity và truy vết nguồn. Đích đề xuất ban đầu: skills/p2p/references/teacher.md. Đích thực tế trong gói: .agents/skills/p2p/references/legacy/teacher.md. Bằng chứng: SOURCE_HASH_VERIFIED; TARGET_PRESENT; ON_DEMAND_LOAD.</x:v>
      </x:c>
    </x:row>
    <x:row r="129" ht="64" customHeight="1">
      <x:c r="A129" s="23" t="str">
        <x:v>P2P-FILE-0121</x:v>
      </x:c>
      <x:c r="B129" s="22" t="str">
        <x:v>Prompt engineering &amp; QC</x:v>
      </x:c>
      <x:c r="C129" s="22" t="str">
        <x:v>templates</x:v>
      </x:c>
      <x:c r="D129" s="22" t="str">
        <x:v>8.4.6-C/plugin/.claude/skills/p2p/templates_library.md</x:v>
      </x:c>
      <x:c r="E129" s="22"/>
      <x:c r="F129" s="23" t="str">
        <x:v>255A0705</x:v>
      </x:c>
      <x:c r="G129" s="23"/>
      <x:c r="H129" s="23" t="str">
        <x:f>IF($N$3&lt;&gt;"DONE","Chờ bản mới",IF(AND(D129="",E129=""),"",IF(D129="","Thêm mới",IF(E129="","Không còn",IF(AND(D129&lt;&gt;E129,F129=G129),"Đổi tên/di chuyển",IF(F129=G129,"Không đổi","Sửa nội dung"))))))</x:f>
        <x:v>Chờ bản mới</x:v>
      </x:c>
      <x:c r="I129" s="22" t="str">
        <x:v>Chờ phân tích khi có bản mới</x:v>
      </x:c>
      <x:c r="J129" s="22" t="str">
        <x:v>Giữ cả các file gốc trong source snapshot; runtime chỉ kích hoạt một bản canonical để tránh nạp kép.</x:v>
      </x:c>
      <x:c r="K129" s="22" t="str">
        <x:v>KEEP_SOURCE + TRANSLATE_SEMANTICS</x:v>
      </x:c>
      <x:c r="L129" s="22" t="str">
        <x:v>.agents/skills/p2p/references/legacy/templates_library.md</x:v>
      </x:c>
      <x:c r="M129" s="22" t="str">
        <x:v>CRC nguồn khớp; nội dung không mất; reference chỉ nạp khi cần; 3 ca parity và một ca không kích hoạt ngoài ý muốn.</x:v>
      </x:c>
      <x:c r="N129" s="22" t="str">
        <x:v>Chờ bản mới</x:v>
      </x:c>
      <x:c r="O129" s="22" t="str">
        <x:v>Không thấy rủi ro riêng ngoài yêu cầu parity và truy vết nguồn. Đích đề xuất ban đầu: skills/p2p/references/templates_library.md. Đích thực tế trong gói: .agents/skills/p2p/references/legacy/templates_library.md. Bằng chứng: SOURCE_HASH_VERIFIED; TARGET_PRESENT; ON_DEMAND_LOAD.</x:v>
      </x:c>
    </x:row>
    <x:row r="130" ht="64" customHeight="1">
      <x:c r="A130" s="23" t="str">
        <x:v>P2P-FILE-0122</x:v>
      </x:c>
      <x:c r="B130" s="22" t="str">
        <x:v>Trạng thái, scope &amp; đo lường</x:v>
      </x:c>
      <x:c r="C130" s="22" t="str">
        <x:v>tool_budget</x:v>
      </x:c>
      <x:c r="D130" s="22" t="str">
        <x:v>8.4.6-C/plugin/.claude/skills/p2p/tool_budget.md</x:v>
      </x:c>
      <x:c r="E130" s="22"/>
      <x:c r="F130" s="23" t="str">
        <x:v>64B6008A</x:v>
      </x:c>
      <x:c r="G130" s="23"/>
      <x:c r="H130" s="23" t="str">
        <x:f>IF($N$3&lt;&gt;"DONE","Chờ bản mới",IF(AND(D130="",E130=""),"",IF(D130="","Thêm mới",IF(E130="","Không còn",IF(AND(D130&lt;&gt;E130,F130=G130),"Đổi tên/di chuyển",IF(F130=G130,"Không đổi","Sửa nội dung"))))))</x:f>
        <x:v>Chờ bản mới</x:v>
      </x:c>
      <x:c r="I130" s="22" t="str">
        <x:v>Chờ phân tích khi có bản mới</x:v>
      </x:c>
      <x:c r="J130" s="22" t="str">
        <x:v>Giữ cả các file gốc trong source snapshot; runtime chỉ kích hoạt một bản canonical để tránh nạp kép.</x:v>
      </x:c>
      <x:c r="K130" s="22" t="str">
        <x:v>KEEP_SOURCE + TRANSLATE_SEMANTICS</x:v>
      </x:c>
      <x:c r="L130" s="22" t="str">
        <x:v>.agents/skills/p2p/references/legacy/tool_budget.md</x:v>
      </x:c>
      <x:c r="M130" s="22" t="str">
        <x:v>CRC nguồn khớp; nội dung không mất; reference chỉ nạp khi cần; 3 ca parity và một ca không kích hoạt ngoài ý muốn.</x:v>
      </x:c>
      <x:c r="N130" s="22" t="str">
        <x:v>Chờ bản mới</x:v>
      </x:c>
      <x:c r="O130" s="22" t="str">
        <x:v>Không thấy rủi ro riêng ngoài yêu cầu parity và truy vết nguồn. Đích đề xuất ban đầu: skills/p2p/references/tool_budget.md. Đích thực tế trong gói: .agents/skills/p2p/references/legacy/tool_budget.md. Bằng chứng: SOURCE_HASH_VERIFIED; TARGET_PRESENT; ON_DEMAND_LOAD.</x:v>
      </x:c>
    </x:row>
    <x:row r="131" ht="64" customHeight="1">
      <x:c r="A131" s="23" t="str">
        <x:v>P2P-FILE-0123</x:v>
      </x:c>
      <x:c r="B131" s="22" t="str">
        <x:v>Ngữ cảnh người dùng &amp; miền</x:v>
      </x:c>
      <x:c r="C131" s="22" t="str">
        <x:v>user_context</x:v>
      </x:c>
      <x:c r="D131" s="22" t="str">
        <x:v>8.4.6-C/plugin/.claude/skills/p2p/user_context.md</x:v>
      </x:c>
      <x:c r="E131" s="22"/>
      <x:c r="F131" s="23" t="str">
        <x:v>6F4137DB</x:v>
      </x:c>
      <x:c r="G131" s="23"/>
      <x:c r="H131" s="23" t="str">
        <x:f>IF($N$3&lt;&gt;"DONE","Chờ bản mới",IF(AND(D131="",E131=""),"",IF(D131="","Thêm mới",IF(E131="","Không còn",IF(AND(D131&lt;&gt;E131,F131=G131),"Đổi tên/di chuyển",IF(F131=G131,"Không đổi","Sửa nội dung"))))))</x:f>
        <x:v>Chờ bản mới</x:v>
      </x:c>
      <x:c r="I131" s="22" t="str">
        <x:v>Chờ phân tích khi có bản mới</x:v>
      </x:c>
      <x:c r="J131" s="22" t="str">
        <x:v>Giữ cả các file gốc trong source snapshot; runtime chỉ kích hoạt một bản canonical để tránh nạp kép.</x:v>
      </x:c>
      <x:c r="K131" s="22" t="str">
        <x:v>KEEP_SOURCE + TRANSLATE_SEMANTICS</x:v>
      </x:c>
      <x:c r="L131" s="22" t="str">
        <x:v>.agents/skills/p2p/references/legacy/user_context.md</x:v>
      </x:c>
      <x:c r="M131" s="22" t="str">
        <x:v>CRC nguồn khớp; nội dung không mất; reference chỉ nạp khi cần; 3 ca parity và một ca không kích hoạt ngoài ý muốn.</x:v>
      </x:c>
      <x:c r="N131" s="22" t="str">
        <x:v>Chờ bản mới</x:v>
      </x:c>
      <x:c r="O131" s="22" t="str">
        <x:v>Không thấy rủi ro riêng ngoài yêu cầu parity và truy vết nguồn. Đích đề xuất ban đầu: skills/p2p/references/user_context.md. Đích thực tế trong gói: .agents/skills/p2p/references/legacy/user_context.md. Bằng chứng: SOURCE_HASH_VERIFIED; TARGET_PRESENT; ON_DEMAND_LOAD.</x:v>
      </x:c>
    </x:row>
    <x:row r="132" ht="64" customHeight="1">
      <x:c r="A132" s="23" t="str">
        <x:v>P2P-FILE-0124</x:v>
      </x:c>
      <x:c r="B132" s="22" t="str">
        <x:v>Dữ liệu LIVE &amp; model/vendor</x:v>
      </x:c>
      <x:c r="C132" s="22" t="str">
        <x:v>live_claude</x:v>
      </x:c>
      <x:c r="D132" s="22" t="str">
        <x:v>8.4.6-C/plugin/.claude/skills/p2p/vendors/_live_claude.md</x:v>
      </x:c>
      <x:c r="E132" s="22"/>
      <x:c r="F132" s="23" t="str">
        <x:v>D848C3AA</x:v>
      </x:c>
      <x:c r="G132" s="23"/>
      <x:c r="H132" s="23" t="str">
        <x:f>IF($N$3&lt;&gt;"DONE","Chờ bản mới",IF(AND(D132="",E132=""),"",IF(D132="","Thêm mới",IF(E132="","Không còn",IF(AND(D132&lt;&gt;E132,F132=G132),"Đổi tên/di chuyển",IF(F132=G132,"Không đổi","Sửa nội dung"))))))</x:f>
        <x:v>Chờ bản mới</x:v>
      </x:c>
      <x:c r="I132" s="22" t="str">
        <x:v>Chờ phân tích khi có bản mới</x:v>
      </x:c>
      <x:c r="J132" s="22" t="str">
        <x:v>Giữ cả các file gốc trong source snapshot; runtime chỉ kích hoạt một bản canonical để tránh nạp kép. Snapshot chỉ là bằng chứng lịch sử; lớp LIVE mới phải có nguồn và ngày kiểm chứng.</x:v>
      </x:c>
      <x:c r="K132" s="22" t="str">
        <x:v>KEEP_SOURCE + VERIFY_LIVE + REWRITE_NATIVE</x:v>
      </x:c>
      <x:c r="L132" s="22" t="str">
        <x:v>.agents/skills/p2p/references/legacy/live/_live_claude.md</x:v>
      </x:c>
      <x:c r="M132" s="22" t="str">
        <x:v>Mỗi claim có nguồn chính thức + ngày kiểm chứng; cảnh báo stale; offline fallback không bịa dữ liệu.</x:v>
      </x:c>
      <x:c r="N132" s="22" t="str">
        <x:v>Chờ bản mới</x:v>
      </x:c>
      <x:c r="O132" s="22" t="str">
        <x:v>Tên model, giá, API và context có thể thay đổi; không coi snapshot là dữ liệu hiện hành. Đích đề xuất ban đầu: skills/p2p/references/live/live_claude.md. Đích thực tế trong gói: .agents/skills/p2p/references/legacy/live/_live_claude.md. Bằng chứng: SOURCE_HASH_VERIFIED; FRESHNESS_GATE_REQUIRED.</x:v>
      </x:c>
    </x:row>
    <x:row r="133" ht="64" customHeight="1">
      <x:c r="A133" s="23" t="str">
        <x:v>P2P-FILE-0125</x:v>
      </x:c>
      <x:c r="B133" s="22" t="str">
        <x:v>Dữ liệu LIVE &amp; model/vendor</x:v>
      </x:c>
      <x:c r="C133" s="22" t="str">
        <x:v>live_core</x:v>
      </x:c>
      <x:c r="D133" s="22" t="str">
        <x:v>8.4.6-C/plugin/.claude/skills/p2p/vendors/_live_core.md</x:v>
      </x:c>
      <x:c r="E133" s="22"/>
      <x:c r="F133" s="23" t="str">
        <x:v>6FD3DA09</x:v>
      </x:c>
      <x:c r="G133" s="23"/>
      <x:c r="H133" s="23" t="str">
        <x:f>IF($N$3&lt;&gt;"DONE","Chờ bản mới",IF(AND(D133="",E133=""),"",IF(D133="","Thêm mới",IF(E133="","Không còn",IF(AND(D133&lt;&gt;E133,F133=G133),"Đổi tên/di chuyển",IF(F133=G133,"Không đổi","Sửa nội dung"))))))</x:f>
        <x:v>Chờ bản mới</x:v>
      </x:c>
      <x:c r="I133" s="22" t="str">
        <x:v>Chờ phân tích khi có bản mới</x:v>
      </x:c>
      <x:c r="J133" s="22" t="str">
        <x:v>Giữ cả các file gốc trong source snapshot; runtime chỉ kích hoạt một bản canonical để tránh nạp kép. Snapshot chỉ là bằng chứng lịch sử; lớp LIVE mới phải có nguồn và ngày kiểm chứng.</x:v>
      </x:c>
      <x:c r="K133" s="22" t="str">
        <x:v>KEEP_SOURCE + VERIFY_LIVE + REWRITE_NATIVE</x:v>
      </x:c>
      <x:c r="L133" s="22" t="str">
        <x:v>.agents/skills/p2p/references/legacy/live/_live_core.md</x:v>
      </x:c>
      <x:c r="M133" s="22" t="str">
        <x:v>Mỗi claim có nguồn chính thức + ngày kiểm chứng; cảnh báo stale; offline fallback không bịa dữ liệu.</x:v>
      </x:c>
      <x:c r="N133" s="22" t="str">
        <x:v>Chờ bản mới</x:v>
      </x:c>
      <x:c r="O133" s="22" t="str">
        <x:v>Không hứa lưu bền qua phiên nếu chưa có storage/connector; cần nêu rõ phạm vi bộ nhớ. Đích đề xuất ban đầu: skills/p2p/references/live/live_core.md. Đích thực tế trong gói: .agents/skills/p2p/references/legacy/live/_live_core.md. Bằng chứng: SOURCE_HASH_VERIFIED; FRESHNESS_GATE_REQUIRED.</x:v>
      </x:c>
    </x:row>
    <x:row r="134" ht="64" customHeight="1">
      <x:c r="A134" s="23" t="str">
        <x:v>P2P-FILE-0126</x:v>
      </x:c>
      <x:c r="B134" s="22" t="str">
        <x:v>Dữ liệu LIVE &amp; model/vendor</x:v>
      </x:c>
      <x:c r="C134" s="22" t="str">
        <x:v>live_manifest</x:v>
      </x:c>
      <x:c r="D134" s="22" t="str">
        <x:v>8.4.6-C/plugin/.claude/skills/p2p/vendors/_live_manifest.md</x:v>
      </x:c>
      <x:c r="E134" s="22"/>
      <x:c r="F134" s="23" t="str">
        <x:v>1B978F06</x:v>
      </x:c>
      <x:c r="G134" s="23"/>
      <x:c r="H134" s="23" t="str">
        <x:f>IF($N$3&lt;&gt;"DONE","Chờ bản mới",IF(AND(D134="",E134=""),"",IF(D134="","Thêm mới",IF(E134="","Không còn",IF(AND(D134&lt;&gt;E134,F134=G134),"Đổi tên/di chuyển",IF(F134=G134,"Không đổi","Sửa nội dung"))))))</x:f>
        <x:v>Chờ bản mới</x:v>
      </x:c>
      <x:c r="I134" s="22" t="str">
        <x:v>Chờ phân tích khi có bản mới</x:v>
      </x:c>
      <x:c r="J134" s="22" t="str">
        <x:v>Giữ cả các file gốc trong source snapshot; runtime chỉ kích hoạt một bản canonical để tránh nạp kép. Snapshot chỉ là bằng chứng lịch sử; lớp LIVE mới phải có nguồn và ngày kiểm chứng.</x:v>
      </x:c>
      <x:c r="K134" s="22" t="str">
        <x:v>KEEP_SOURCE + VERIFY_LIVE + REWRITE_NATIVE</x:v>
      </x:c>
      <x:c r="L134" s="22" t="str">
        <x:v>.agents/skills/p2p/references/legacy/live/_live_manifest.md</x:v>
      </x:c>
      <x:c r="M134" s="22" t="str">
        <x:v>Mỗi claim có nguồn chính thức + ngày kiểm chứng; cảnh báo stale; offline fallback không bịa dữ liệu.</x:v>
      </x:c>
      <x:c r="N134" s="22" t="str">
        <x:v>Chờ bản mới</x:v>
      </x:c>
      <x:c r="O134" s="22" t="str">
        <x:v>Tên model, giá, API và context có thể thay đổi; không coi snapshot là dữ liệu hiện hành. Đích đề xuất ban đầu: skills/p2p/references/live/live_manifest.md. Đích thực tế trong gói: .agents/skills/p2p/references/legacy/live/_live_manifest.md. Bằng chứng: SOURCE_HASH_VERIFIED; FRESHNESS_GATE_REQUIRED.</x:v>
      </x:c>
    </x:row>
    <x:row r="135" ht="64" customHeight="1">
      <x:c r="A135" s="23" t="str">
        <x:v>P2P-FILE-0127</x:v>
      </x:c>
      <x:c r="B135" s="22" t="str">
        <x:v>Dữ liệu LIVE &amp; model/vendor</x:v>
      </x:c>
      <x:c r="C135" s="22" t="str">
        <x:v>live_vendors</x:v>
      </x:c>
      <x:c r="D135" s="22" t="str">
        <x:v>8.4.6-C/plugin/.claude/skills/p2p/vendors/_live_specs.md</x:v>
      </x:c>
      <x:c r="E135" s="22"/>
      <x:c r="F135" s="23" t="str">
        <x:v>40CC26CF</x:v>
      </x:c>
      <x:c r="G135" s="23"/>
      <x:c r="H135" s="23" t="str">
        <x:f>IF($N$3&lt;&gt;"DONE","Chờ bản mới",IF(AND(D135="",E135=""),"",IF(D135="","Thêm mới",IF(E135="","Không còn",IF(AND(D135&lt;&gt;E135,F135=G135),"Đổi tên/di chuyển",IF(F135=G135,"Không đổi","Sửa nội dung"))))))</x:f>
        <x:v>Chờ bản mới</x:v>
      </x:c>
      <x:c r="I135" s="22" t="str">
        <x:v>Chờ phân tích khi có bản mới</x:v>
      </x:c>
      <x:c r="J135" s="22" t="str">
        <x:v>Giữ cả các file gốc trong source snapshot; runtime chỉ kích hoạt một bản canonical để tránh nạp kép. Snapshot chỉ là bằng chứng lịch sử; lớp LIVE mới phải có nguồn và ngày kiểm chứng.</x:v>
      </x:c>
      <x:c r="K135" s="22" t="str">
        <x:v>KEEP_SOURCE + VERIFY_LIVE + REWRITE_NATIVE</x:v>
      </x:c>
      <x:c r="L135" s="22" t="str">
        <x:v>source/8.4.6-C/plugin/.claude/skills/p2p/vendors/_live_specs.md</x:v>
      </x:c>
      <x:c r="M135" s="22" t="str">
        <x:v>Mỗi claim có nguồn chính thức + ngày kiểm chứng; cảnh báo stale; offline fallback không bịa dữ liệu.</x:v>
      </x:c>
      <x:c r="N135" s="22" t="str">
        <x:v>Chờ bản mới</x:v>
      </x:c>
      <x:c r="O135" s="22" t="str">
        <x:v>Tên model, giá, API và context có thể thay đổi; không coi snapshot là dữ liệu hiện hành. Không tạo runtime riêng; toàn văn vẫn còn trong source snapshot và manifest truy vết. Bằng chứng: SOURCE_HASH_VERIFIED; FRESHNESS_GATE_REQUIRED.</x:v>
      </x:c>
    </x:row>
    <x:row r="136" ht="64" customHeight="1">
      <x:c r="A136" s="23" t="str">
        <x:v>P2P-FILE-0128</x:v>
      </x:c>
      <x:c r="B136" s="22" t="str">
        <x:v>Dữ liệu LIVE &amp; model/vendor</x:v>
      </x:c>
      <x:c r="C136" s="22" t="str">
        <x:v>live_specs</x:v>
      </x:c>
      <x:c r="D136" s="22" t="str">
        <x:v>8.4.6-C/plugin/.claude/skills/p2p/vendors/live_specs.md</x:v>
      </x:c>
      <x:c r="E136" s="22"/>
      <x:c r="F136" s="23" t="str">
        <x:v>64C65DDA</x:v>
      </x:c>
      <x:c r="G136" s="23"/>
      <x:c r="H136" s="23" t="str">
        <x:f>IF($N$3&lt;&gt;"DONE","Chờ bản mới",IF(AND(D136="",E136=""),"",IF(D136="","Thêm mới",IF(E136="","Không còn",IF(AND(D136&lt;&gt;E136,F136=G136),"Đổi tên/di chuyển",IF(F136=G136,"Không đổi","Sửa nội dung"))))))</x:f>
        <x:v>Chờ bản mới</x:v>
      </x:c>
      <x:c r="I136" s="22" t="str">
        <x:v>Chờ phân tích khi có bản mới</x:v>
      </x:c>
      <x:c r="J136" s="22" t="str">
        <x:v>Giữ cả các file gốc trong source snapshot; runtime chỉ kích hoạt một bản canonical để tránh nạp kép. Snapshot chỉ là bằng chứng lịch sử; lớp LIVE mới phải có nguồn và ngày kiểm chứng.</x:v>
      </x:c>
      <x:c r="K136" s="22" t="str">
        <x:v>KEEP_SOURCE + VERIFY_LIVE + REWRITE_NATIVE</x:v>
      </x:c>
      <x:c r="L136" s="22" t="str">
        <x:v>.agents/skills/p2p/references/legacy/live/live_specs.md</x:v>
      </x:c>
      <x:c r="M136" s="22" t="str">
        <x:v>Mỗi claim có nguồn chính thức + ngày kiểm chứng; cảnh báo stale; offline fallback không bịa dữ liệu.</x:v>
      </x:c>
      <x:c r="N136" s="22" t="str">
        <x:v>Chờ bản mới</x:v>
      </x:c>
      <x:c r="O136" s="22" t="str">
        <x:v>Tên model, giá, API và context có thể thay đổi; không coi snapshot là dữ liệu hiện hành. Đích đề xuất ban đầu: skills/p2p/references/live/live_specs.md. Đích thực tế trong gói: .agents/skills/p2p/references/legacy/live/live_specs.md. Bằng chứng: SOURCE_HASH_VERIFIED; FRESHNESS_GATE_REQUIRED.</x:v>
      </x:c>
    </x:row>
    <x:row r="137" ht="64" customHeight="1">
      <x:c r="A137" s="23" t="str">
        <x:v>P2P-FILE-0129</x:v>
      </x:c>
      <x:c r="B137" s="22" t="str">
        <x:v>Dữ liệu LIVE &amp; model/vendor</x:v>
      </x:c>
      <x:c r="C137" s="22" t="str">
        <x:v>vendor_tier1</x:v>
      </x:c>
      <x:c r="D137" s="22" t="str">
        <x:v>8.4.6-C/plugin/.claude/skills/p2p/vendors/tier1.md</x:v>
      </x:c>
      <x:c r="E137" s="22"/>
      <x:c r="F137" s="23" t="str">
        <x:v>1E68D4BB</x:v>
      </x:c>
      <x:c r="G137" s="23"/>
      <x:c r="H137" s="23" t="str">
        <x:f>IF($N$3&lt;&gt;"DONE","Chờ bản mới",IF(AND(D137="",E137=""),"",IF(D137="","Thêm mới",IF(E137="","Không còn",IF(AND(D137&lt;&gt;E137,F137=G137),"Đổi tên/di chuyển",IF(F137=G137,"Không đổi","Sửa nội dung"))))))</x:f>
        <x:v>Chờ bản mới</x:v>
      </x:c>
      <x:c r="I137" s="22" t="str">
        <x:v>Chờ phân tích khi có bản mới</x:v>
      </x:c>
      <x:c r="J137" s="22" t="str">
        <x:v>Giữ cả các file gốc trong source snapshot; runtime chỉ kích hoạt một bản canonical để tránh nạp kép. Snapshot chỉ là bằng chứng lịch sử; lớp LIVE mới phải có nguồn và ngày kiểm chứng.</x:v>
      </x:c>
      <x:c r="K137" s="22" t="str">
        <x:v>KEEP_SOURCE + VERIFY_LIVE + REWRITE_NATIVE</x:v>
      </x:c>
      <x:c r="L137" s="22" t="str">
        <x:v>.agents/skills/p2p/references/legacy/live/tier1.md</x:v>
      </x:c>
      <x:c r="M137" s="22" t="str">
        <x:v>Mỗi claim có nguồn chính thức + ngày kiểm chứng; cảnh báo stale; offline fallback không bịa dữ liệu.</x:v>
      </x:c>
      <x:c r="N137" s="22" t="str">
        <x:v>Chờ bản mới</x:v>
      </x:c>
      <x:c r="O137" s="22" t="str">
        <x:v>Tên model, giá, API và context có thể thay đổi; không coi snapshot là dữ liệu hiện hành. Đích đề xuất ban đầu: skills/p2p/references/live/vendor_tier1.md. Đích thực tế trong gói: .agents/skills/p2p/references/legacy/live/tier1.md. Bằng chứng: SOURCE_HASH_VERIFIED; FRESHNESS_GATE_REQUIRED.</x:v>
      </x:c>
    </x:row>
    <x:row r="138" ht="64" customHeight="1">
      <x:c r="A138" s="23" t="str">
        <x:v>P2P-FILE-0130</x:v>
      </x:c>
      <x:c r="B138" s="22" t="str">
        <x:v>Dữ liệu LIVE &amp; model/vendor</x:v>
      </x:c>
      <x:c r="C138" s="22" t="str">
        <x:v>vendor_tier2</x:v>
      </x:c>
      <x:c r="D138" s="22" t="str">
        <x:v>8.4.6-C/plugin/.claude/skills/p2p/vendors/tier2.md</x:v>
      </x:c>
      <x:c r="E138" s="22"/>
      <x:c r="F138" s="23" t="str">
        <x:v>77202E54</x:v>
      </x:c>
      <x:c r="G138" s="23"/>
      <x:c r="H138" s="23" t="str">
        <x:f>IF($N$3&lt;&gt;"DONE","Chờ bản mới",IF(AND(D138="",E138=""),"",IF(D138="","Thêm mới",IF(E138="","Không còn",IF(AND(D138&lt;&gt;E138,F138=G138),"Đổi tên/di chuyển",IF(F138=G138,"Không đổi","Sửa nội dung"))))))</x:f>
        <x:v>Chờ bản mới</x:v>
      </x:c>
      <x:c r="I138" s="22" t="str">
        <x:v>Chờ phân tích khi có bản mới</x:v>
      </x:c>
      <x:c r="J138" s="22" t="str">
        <x:v>Giữ cả các file gốc trong source snapshot; runtime chỉ kích hoạt một bản canonical để tránh nạp kép. Snapshot chỉ là bằng chứng lịch sử; lớp LIVE mới phải có nguồn và ngày kiểm chứng.</x:v>
      </x:c>
      <x:c r="K138" s="22" t="str">
        <x:v>KEEP_SOURCE + VERIFY_LIVE + REWRITE_NATIVE</x:v>
      </x:c>
      <x:c r="L138" s="22" t="str">
        <x:v>.agents/skills/p2p/references/legacy/live/tier2.md</x:v>
      </x:c>
      <x:c r="M138" s="22" t="str">
        <x:v>Mỗi claim có nguồn chính thức + ngày kiểm chứng; cảnh báo stale; offline fallback không bịa dữ liệu.</x:v>
      </x:c>
      <x:c r="N138" s="22" t="str">
        <x:v>Chờ bản mới</x:v>
      </x:c>
      <x:c r="O138" s="22" t="str">
        <x:v>Tên model, giá, API và context có thể thay đổi; không coi snapshot là dữ liệu hiện hành. Đích đề xuất ban đầu: skills/p2p/references/live/vendor_tier2.md. Đích thực tế trong gói: .agents/skills/p2p/references/legacy/live/tier2.md. Bằng chứng: SOURCE_HASH_VERIFIED; FRESHNESS_GATE_REQUIRED.</x:v>
      </x:c>
    </x:row>
    <x:row r="139" ht="64" customHeight="1">
      <x:c r="A139" s="23" t="str">
        <x:v>P2P-FILE-0131</x:v>
      </x:c>
      <x:c r="B139" s="22" t="str">
        <x:v>Dữ liệu LIVE &amp; model/vendor</x:v>
      </x:c>
      <x:c r="C139" s="22" t="str">
        <x:v>vendor_tier3</x:v>
      </x:c>
      <x:c r="D139" s="22" t="str">
        <x:v>8.4.6-C/plugin/.claude/skills/p2p/vendors/tier3.md</x:v>
      </x:c>
      <x:c r="E139" s="22"/>
      <x:c r="F139" s="23" t="str">
        <x:v>3D524F4D</x:v>
      </x:c>
      <x:c r="G139" s="23"/>
      <x:c r="H139" s="23" t="str">
        <x:f>IF($N$3&lt;&gt;"DONE","Chờ bản mới",IF(AND(D139="",E139=""),"",IF(D139="","Thêm mới",IF(E139="","Không còn",IF(AND(D139&lt;&gt;E139,F139=G139),"Đổi tên/di chuyển",IF(F139=G139,"Không đổi","Sửa nội dung"))))))</x:f>
        <x:v>Chờ bản mới</x:v>
      </x:c>
      <x:c r="I139" s="22" t="str">
        <x:v>Chờ phân tích khi có bản mới</x:v>
      </x:c>
      <x:c r="J139" s="22" t="str">
        <x:v>Giữ cả các file gốc trong source snapshot; runtime chỉ kích hoạt một bản canonical để tránh nạp kép. Snapshot chỉ là bằng chứng lịch sử; lớp LIVE mới phải có nguồn và ngày kiểm chứng.</x:v>
      </x:c>
      <x:c r="K139" s="22" t="str">
        <x:v>KEEP_SOURCE + VERIFY_LIVE + REWRITE_NATIVE</x:v>
      </x:c>
      <x:c r="L139" s="22" t="str">
        <x:v>.agents/skills/p2p/references/legacy/live/tier3.md</x:v>
      </x:c>
      <x:c r="M139" s="22" t="str">
        <x:v>Mỗi claim có nguồn chính thức + ngày kiểm chứng; cảnh báo stale; offline fallback không bịa dữ liệu.</x:v>
      </x:c>
      <x:c r="N139" s="22" t="str">
        <x:v>Chờ bản mới</x:v>
      </x:c>
      <x:c r="O139" s="22" t="str">
        <x:v>Tên model, giá, API và context có thể thay đổi; không coi snapshot là dữ liệu hiện hành. Đích đề xuất ban đầu: skills/p2p/references/live/vendor_tier3.md. Đích thực tế trong gói: .agents/skills/p2p/references/legacy/live/tier3.md. Bằng chứng: SOURCE_HASH_VERIFIED; FRESHNESS_GATE_REQUIRED.</x:v>
      </x:c>
    </x:row>
    <x:row r="140" ht="64" customHeight="1">
      <x:c r="A140" s="23" t="str">
        <x:v>P2P-FILE-0132</x:v>
      </x:c>
      <x:c r="B140" s="22" t="str">
        <x:v>Dữ liệu LIVE &amp; model/vendor</x:v>
      </x:c>
      <x:c r="C140" s="22" t="str">
        <x:v>vendor_tier4</x:v>
      </x:c>
      <x:c r="D140" s="22" t="str">
        <x:v>8.4.6-C/plugin/.claude/skills/p2p/vendors/tier4.md</x:v>
      </x:c>
      <x:c r="E140" s="22"/>
      <x:c r="F140" s="23" t="str">
        <x:v>E2130F54</x:v>
      </x:c>
      <x:c r="G140" s="23"/>
      <x:c r="H140" s="23" t="str">
        <x:f>IF($N$3&lt;&gt;"DONE","Chờ bản mới",IF(AND(D140="",E140=""),"",IF(D140="","Thêm mới",IF(E140="","Không còn",IF(AND(D140&lt;&gt;E140,F140=G140),"Đổi tên/di chuyển",IF(F140=G140,"Không đổi","Sửa nội dung"))))))</x:f>
        <x:v>Chờ bản mới</x:v>
      </x:c>
      <x:c r="I140" s="22" t="str">
        <x:v>Chờ phân tích khi có bản mới</x:v>
      </x:c>
      <x:c r="J140" s="22" t="str">
        <x:v>Giữ cả các file gốc trong source snapshot; runtime chỉ kích hoạt một bản canonical để tránh nạp kép. Snapshot chỉ là bằng chứng lịch sử; lớp LIVE mới phải có nguồn và ngày kiểm chứng.</x:v>
      </x:c>
      <x:c r="K140" s="22" t="str">
        <x:v>KEEP_SOURCE + VERIFY_LIVE + REWRITE_NATIVE</x:v>
      </x:c>
      <x:c r="L140" s="22" t="str">
        <x:v>.agents/skills/p2p/references/legacy/live/tier4.md</x:v>
      </x:c>
      <x:c r="M140" s="22" t="str">
        <x:v>Mỗi claim có nguồn chính thức + ngày kiểm chứng; cảnh báo stale; offline fallback không bịa dữ liệu.</x:v>
      </x:c>
      <x:c r="N140" s="22" t="str">
        <x:v>Chờ bản mới</x:v>
      </x:c>
      <x:c r="O140" s="22" t="str">
        <x:v>Tên model, giá, API và context có thể thay đổi; không coi snapshot là dữ liệu hiện hành. Đích đề xuất ban đầu: skills/p2p/references/live/vendor_tier4.md. Đích thực tế trong gói: .agents/skills/p2p/references/legacy/live/tier4.md. Bằng chứng: SOURCE_HASH_VERIFIED; FRESHNESS_GATE_REQUIRED.</x:v>
      </x:c>
    </x:row>
    <x:row r="141" ht="64" customHeight="1">
      <x:c r="A141" s="23" t="str">
        <x:v>P2P-FILE-0133</x:v>
      </x:c>
      <x:c r="B141" s="22" t="str">
        <x:v>Nội dung, media &amp; trình bày</x:v>
      </x:c>
      <x:c r="C141" s="22" t="str">
        <x:v>visual</x:v>
      </x:c>
      <x:c r="D141" s="22" t="str">
        <x:v>8.4.6-C/plugin/.claude/skills/p2p/visual_suite.md</x:v>
      </x:c>
      <x:c r="E141" s="22"/>
      <x:c r="F141" s="23" t="str">
        <x:v>1214B327</x:v>
      </x:c>
      <x:c r="G141" s="23"/>
      <x:c r="H141" s="23" t="str">
        <x:f>IF($N$3&lt;&gt;"DONE","Chờ bản mới",IF(AND(D141="",E141=""),"",IF(D141="","Thêm mới",IF(E141="","Không còn",IF(AND(D141&lt;&gt;E141,F141=G141),"Đổi tên/di chuyển",IF(F141=G141,"Không đổi","Sửa nội dung"))))))</x:f>
        <x:v>Chờ bản mới</x:v>
      </x:c>
      <x:c r="I141" s="22" t="str">
        <x:v>Chờ phân tích khi có bản mới</x:v>
      </x:c>
      <x:c r="J141" s="22" t="str">
        <x:v>Giữ cả các file gốc trong source snapshot; runtime chỉ kích hoạt một bản canonical để tránh nạp kép.</x:v>
      </x:c>
      <x:c r="K141" s="22" t="str">
        <x:v>KEEP_SOURCE + TRANSLATE_SEMANTICS</x:v>
      </x:c>
      <x:c r="L141" s="22" t="str">
        <x:v>.agents/skills/p2p/references/legacy/visual_suite.md</x:v>
      </x:c>
      <x:c r="M141" s="22" t="str">
        <x:v>CRC nguồn khớp; nội dung không mất; reference chỉ nạp khi cần; 3 ca parity và một ca không kích hoạt ngoài ý muốn.</x:v>
      </x:c>
      <x:c r="N141" s="22" t="str">
        <x:v>Chờ bản mới</x:v>
      </x:c>
      <x:c r="O141" s="22" t="str">
        <x:v>Không thấy rủi ro riêng ngoài yêu cầu parity và truy vết nguồn. Đích đề xuất ban đầu: skills/p2p/references/visual_suite.md. Đích thực tế trong gói: .agents/skills/p2p/references/legacy/visual_suite.md. Bằng chứng: SOURCE_HASH_VERIFIED; TARGET_PRESENT; ON_DEMAND_LOAD.</x:v>
      </x:c>
    </x:row>
    <x:row r="142" ht="64" customHeight="1">
      <x:c r="A142" s="23" t="str">
        <x:v>P2P-FILE-0134</x:v>
      </x:c>
      <x:c r="B142" s="22" t="str">
        <x:v>Nội dung, media &amp; trình bày</x:v>
      </x:c>
      <x:c r="C142" s="22" t="str">
        <x:v>writing</x:v>
      </x:c>
      <x:c r="D142" s="22" t="str">
        <x:v>8.4.6-C/plugin/.claude/skills/p2p/writing_suite.md</x:v>
      </x:c>
      <x:c r="E142" s="22"/>
      <x:c r="F142" s="23" t="str">
        <x:v>7A06EF24</x:v>
      </x:c>
      <x:c r="G142" s="23"/>
      <x:c r="H142" s="23" t="str">
        <x:f>IF($N$3&lt;&gt;"DONE","Chờ bản mới",IF(AND(D142="",E142=""),"",IF(D142="","Thêm mới",IF(E142="","Không còn",IF(AND(D142&lt;&gt;E142,F142=G142),"Đổi tên/di chuyển",IF(F142=G142,"Không đổi","Sửa nội dung"))))))</x:f>
        <x:v>Chờ bản mới</x:v>
      </x:c>
      <x:c r="I142" s="22" t="str">
        <x:v>Chờ phân tích khi có bản mới</x:v>
      </x:c>
      <x:c r="J142" s="22" t="str">
        <x:v>Giữ cả các file gốc trong source snapshot; runtime chỉ kích hoạt một bản canonical để tránh nạp kép.</x:v>
      </x:c>
      <x:c r="K142" s="22" t="str">
        <x:v>KEEP_SOURCE + TRANSLATE_SEMANTICS</x:v>
      </x:c>
      <x:c r="L142" s="22" t="str">
        <x:v>.agents/skills/p2p/references/legacy/writing_suite.md</x:v>
      </x:c>
      <x:c r="M142" s="22" t="str">
        <x:v>CRC nguồn khớp; nội dung không mất; reference chỉ nạp khi cần; 3 ca parity và một ca không kích hoạt ngoài ý muốn.</x:v>
      </x:c>
      <x:c r="N142" s="22" t="str">
        <x:v>Chờ bản mới</x:v>
      </x:c>
      <x:c r="O142" s="22" t="str">
        <x:v>Không thấy rủi ro riêng ngoài yêu cầu parity và truy vết nguồn. Đích đề xuất ban đầu: skills/p2p/references/writing_suite.md. Đích thực tế trong gói: .agents/skills/p2p/references/legacy/writing_suite.md. Bằng chứng: SOURCE_HASH_VERIFIED; TARGET_PRESENT; ON_DEMAND_LOAD.</x:v>
      </x:c>
    </x:row>
    <x:row r="143" ht="64" customHeight="1">
      <x:c r="A143" s="23" t="str">
        <x:v>P2P-FILE-0135</x:v>
      </x:c>
      <x:c r="B143" s="22" t="str">
        <x:v>Nén ngữ cảnh &amp; PXPIPE</x:v>
      </x:c>
      <x:c r="C143" s="22" t="str">
        <x:v>pxpipe_skill</x:v>
      </x:c>
      <x:c r="D143" s="22" t="str">
        <x:v>8.4.6-C/plugin/.claude/skills/pxpipe/SKILL.md</x:v>
      </x:c>
      <x:c r="E143" s="22"/>
      <x:c r="F143" s="23" t="str">
        <x:v>343F09F2</x:v>
      </x:c>
      <x:c r="G143" s="23"/>
      <x:c r="H143" s="23" t="str">
        <x:f>IF($N$3&lt;&gt;"DONE","Chờ bản mới",IF(AND(D143="",E143=""),"",IF(D143="","Thêm mới",IF(E143="","Không còn",IF(AND(D143&lt;&gt;E143,F143=G143),"Đổi tên/di chuyển",IF(F143=G143,"Không đổi","Sửa nội dung"))))))</x:f>
        <x:v>Chờ bản mới</x:v>
      </x:c>
      <x:c r="I143" s="22" t="str">
        <x:v>Chờ phân tích khi có bản mới</x:v>
      </x:c>
      <x:c r="J143" s="22" t="str">
        <x:v>Giữ nguyên byte trong source/8.4.6-C; bản Codex ghi đường dẫn nguồn và CRC.</x:v>
      </x:c>
      <x:c r="K143" s="22" t="str">
        <x:v>KEEP_SOURCE + PORT_SCRIPT + OPTIONAL_GATE</x:v>
      </x:c>
      <x:c r="L143" s="22" t="str">
        <x:v>.agents/skills/pxpipe/SKILL.md</x:v>
      </x:c>
      <x:c r="M143" s="22" t="str">
        <x:v>Nguồn/hash còn đủ; component bị chặn kích hoạt cho tới khi audit dependency, bảo mật và hành vi OpenAI hiện hành.</x:v>
      </x:c>
      <x:c r="N143" s="22" t="str">
        <x:v>Chờ bản mới</x:v>
      </x:c>
      <x:c r="O143" s="22" t="str">
        <x:v>Không bật mặc định; lợi ích phụ thuộc model đọc ảnh, độ chính xác và chi phí encode/decode. Đích đề xuất ban đầu: skills/pxpipe/SKILL.md. Đích thực tế trong gói: .agents/skills/pxpipe/SKILL.md. Bằng chứng: SOURCE_HASH_VERIFIED; ACTIVE_INVOCATION_BLOCKED.</x:v>
      </x:c>
    </x:row>
    <x:row r="144" ht="64" customHeight="1">
      <x:c r="A144" s="23" t="str">
        <x:v>P2P-FILE-0136</x:v>
      </x:c>
      <x:c r="B144" s="22" t="str">
        <x:v>Nén ngữ cảnh &amp; PXPIPE</x:v>
      </x:c>
      <x:c r="C144" s="22" t="str">
        <x:v>pxpipe_verification</x:v>
      </x:c>
      <x:c r="D144" s="22" t="str">
        <x:v>8.4.6-C/plugin/.claude/skills/pxpipe/VERIFICATION.md</x:v>
      </x:c>
      <x:c r="E144" s="22"/>
      <x:c r="F144" s="23" t="str">
        <x:v>7C3A8655</x:v>
      </x:c>
      <x:c r="G144" s="23"/>
      <x:c r="H144" s="23" t="str">
        <x:f>IF($N$3&lt;&gt;"DONE","Chờ bản mới",IF(AND(D144="",E144=""),"",IF(D144="","Thêm mới",IF(E144="","Không còn",IF(AND(D144&lt;&gt;E144,F144=G144),"Đổi tên/di chuyển",IF(F144=G144,"Không đổi","Sửa nội dung"))))))</x:f>
        <x:v>Chờ bản mới</x:v>
      </x:c>
      <x:c r="I144" s="22" t="str">
        <x:v>Chờ phân tích khi có bản mới</x:v>
      </x:c>
      <x:c r="J144" s="22" t="str">
        <x:v>Giữ nguyên byte trong source/8.4.6-C; bản Codex ghi đường dẫn nguồn và CRC.</x:v>
      </x:c>
      <x:c r="K144" s="22" t="str">
        <x:v>KEEP_SOURCE + ADAPT_DOCS + RETEST</x:v>
      </x:c>
      <x:c r="L144" s="22" t="str">
        <x:v>.agents/skills/pxpipe/VERIFICATION.md</x:v>
      </x:c>
      <x:c r="M144" s="22" t="str">
        <x:v>Nguồn/hash còn đủ; component bị chặn kích hoạt cho tới khi audit dependency, bảo mật và hành vi OpenAI hiện hành.</x:v>
      </x:c>
      <x:c r="N144" s="22" t="str">
        <x:v>Chờ bản mới</x:v>
      </x:c>
      <x:c r="O144" s="22" t="str">
        <x:v>Không bật mặc định; lợi ích phụ thuộc model đọc ảnh, độ chính xác và chi phí encode/decode. Đích đề xuất ban đầu: skills/pxpipe/VERIFICATION.md. Đích thực tế trong gói: .agents/skills/pxpipe/VERIFICATION.md. Bằng chứng: SOURCE_HASH_VERIFIED; ACTIVE_INVOCATION_BLOCKED.</x:v>
      </x:c>
    </x:row>
    <x:row r="145" ht="64" customHeight="1">
      <x:c r="A145" s="23" t="str">
        <x:v>P2P-FILE-0137</x:v>
      </x:c>
      <x:c r="B145" s="22" t="str">
        <x:v>An toàn &amp; quyền kiểm soát</x:v>
      </x:c>
      <x:c r="C145" s="22" t="str">
        <x:v>byte_guard</x:v>
      </x:c>
      <x:c r="D145" s="22" t="str">
        <x:v>8.4.6-C/plugin/.claude/skills/pxpipe/byte-guard.mjs</x:v>
      </x:c>
      <x:c r="E145" s="22"/>
      <x:c r="F145" s="23" t="str">
        <x:v>93E50011</x:v>
      </x:c>
      <x:c r="G145" s="23"/>
      <x:c r="H145" s="23" t="str">
        <x:f>IF($N$3&lt;&gt;"DONE","Chờ bản mới",IF(AND(D145="",E145=""),"",IF(D145="","Thêm mới",IF(E145="","Không còn",IF(AND(D145&lt;&gt;E145,F145=G145),"Đổi tên/di chuyển",IF(F145=G145,"Không đổi","Sửa nội dung"))))))</x:f>
        <x:v>Chờ bản mới</x:v>
      </x:c>
      <x:c r="I145" s="22" t="str">
        <x:v>Chờ phân tích khi có bản mới</x:v>
      </x:c>
      <x:c r="J145" s="22" t="str">
        <x:v>Giữ nguyên byte trong source/8.4.6-C; bản Codex ghi đường dẫn nguồn và CRC. Mọi port được tạo ở file mới, không sửa mã nguồn snapshot.</x:v>
      </x:c>
      <x:c r="K145" s="22" t="str">
        <x:v>KEEP_SOURCE + PORT_SCRIPT + OPTIONAL_GATE</x:v>
      </x:c>
      <x:c r="L145" s="22" t="str">
        <x:v>.agents/skills/pxpipe/scripts/byte-guard.mjs</x:v>
      </x:c>
      <x:c r="M145" s="22" t="str">
        <x:v>Nguồn/hash còn đủ; component bị chặn kích hoạt cho tới khi audit dependency, bảo mật và hành vi OpenAI hiện hành.</x:v>
      </x:c>
      <x:c r="N145" s="22" t="str">
        <x:v>Chờ bản mới</x:v>
      </x:c>
      <x:c r="O145" s="22" t="str">
        <x:v>Không thấy rủi ro riêng ngoài yêu cầu parity và truy vết nguồn. Đích đề xuất ban đầu: skills/pxpipe/scripts/byte-guard.mjs. Đích thực tế trong gói: .agents/skills/pxpipe/scripts/byte-guard.mjs. Bằng chứng: SOURCE_HASH_VERIFIED; ACTIVE_INVOCATION_BLOCKED.</x:v>
      </x:c>
    </x:row>
    <x:row r="146" ht="64" customHeight="1">
      <x:c r="A146" s="23" t="str">
        <x:v>P2P-FILE-0138</x:v>
      </x:c>
      <x:c r="B146" s="22" t="str">
        <x:v>Nén ngữ cảnh &amp; PXPIPE</x:v>
      </x:c>
      <x:c r="C146" s="22" t="str">
        <x:v>compress_script</x:v>
      </x:c>
      <x:c r="D146" s="22" t="str">
        <x:v>8.4.6-C/plugin/.claude/skills/pxpipe/compress.mjs</x:v>
      </x:c>
      <x:c r="E146" s="22"/>
      <x:c r="F146" s="23" t="str">
        <x:v>F3EC71E8</x:v>
      </x:c>
      <x:c r="G146" s="23"/>
      <x:c r="H146" s="23" t="str">
        <x:f>IF($N$3&lt;&gt;"DONE","Chờ bản mới",IF(AND(D146="",E146=""),"",IF(D146="","Thêm mới",IF(E146="","Không còn",IF(AND(D146&lt;&gt;E146,F146=G146),"Đổi tên/di chuyển",IF(F146=G146,"Không đổi","Sửa nội dung"))))))</x:f>
        <x:v>Chờ bản mới</x:v>
      </x:c>
      <x:c r="I146" s="22" t="str">
        <x:v>Chờ phân tích khi có bản mới</x:v>
      </x:c>
      <x:c r="J146" s="22" t="str">
        <x:v>Giữ nguyên byte trong source/8.4.6-C; bản Codex ghi đường dẫn nguồn và CRC. Mọi port được tạo ở file mới, không sửa mã nguồn snapshot.</x:v>
      </x:c>
      <x:c r="K146" s="22" t="str">
        <x:v>KEEP_SOURCE + PORT_SCRIPT + OPTIONAL_GATE</x:v>
      </x:c>
      <x:c r="L146" s="22" t="str">
        <x:v>.agents/skills/pxpipe/scripts/compress.mjs</x:v>
      </x:c>
      <x:c r="M146" s="22" t="str">
        <x:v>Nguồn/hash còn đủ; component bị chặn kích hoạt cho tới khi audit dependency, bảo mật và hành vi OpenAI hiện hành.</x:v>
      </x:c>
      <x:c r="N146" s="22" t="str">
        <x:v>Chờ bản mới</x:v>
      </x:c>
      <x:c r="O146" s="22" t="str">
        <x:v>Không bật mặc định; lợi ích phụ thuộc model đọc ảnh, độ chính xác và chi phí encode/decode. Đích đề xuất ban đầu: skills/pxpipe/scripts/compress.mjs. Đích thực tế trong gói: .agents/skills/pxpipe/scripts/compress.mjs. Bằng chứng: SOURCE_HASH_VERIFIED; ACTIVE_INVOCATION_BLOCKED.</x:v>
      </x:c>
    </x:row>
    <x:row r="147" ht="64" customHeight="1">
      <x:c r="A147" s="23" t="str">
        <x:v>P2P-FILE-0139</x:v>
      </x:c>
      <x:c r="B147" s="22" t="str">
        <x:v>Nén ngữ cảnh &amp; PXPIPE</x:v>
      </x:c>
      <x:c r="C147" s="22" t="str">
        <x:v>lib_resolve</x:v>
      </x:c>
      <x:c r="D147" s="22" t="str">
        <x:v>8.4.6-C/plugin/.claude/skills/pxpipe/lib-resolve.mjs</x:v>
      </x:c>
      <x:c r="E147" s="22"/>
      <x:c r="F147" s="23" t="str">
        <x:v>075F707E</x:v>
      </x:c>
      <x:c r="G147" s="23"/>
      <x:c r="H147" s="23" t="str">
        <x:f>IF($N$3&lt;&gt;"DONE","Chờ bản mới",IF(AND(D147="",E147=""),"",IF(D147="","Thêm mới",IF(E147="","Không còn",IF(AND(D147&lt;&gt;E147,F147=G147),"Đổi tên/di chuyển",IF(F147=G147,"Không đổi","Sửa nội dung"))))))</x:f>
        <x:v>Chờ bản mới</x:v>
      </x:c>
      <x:c r="I147" s="22" t="str">
        <x:v>Chờ phân tích khi có bản mới</x:v>
      </x:c>
      <x:c r="J147" s="22" t="str">
        <x:v>Giữ nguyên byte trong source/8.4.6-C; bản Codex ghi đường dẫn nguồn và CRC. Mọi port được tạo ở file mới, không sửa mã nguồn snapshot.</x:v>
      </x:c>
      <x:c r="K147" s="22" t="str">
        <x:v>KEEP_SOURCE + PORT_SCRIPT + OPTIONAL_GATE</x:v>
      </x:c>
      <x:c r="L147" s="22" t="str">
        <x:v>.agents/skills/pxpipe/scripts/lib-resolve.mjs</x:v>
      </x:c>
      <x:c r="M147" s="22" t="str">
        <x:v>Nguồn/hash còn đủ; component bị chặn kích hoạt cho tới khi audit dependency, bảo mật và hành vi OpenAI hiện hành.</x:v>
      </x:c>
      <x:c r="N147" s="22" t="str">
        <x:v>Chờ bản mới</x:v>
      </x:c>
      <x:c r="O147" s="22" t="str">
        <x:v>Không bật mặc định; lợi ích phụ thuộc model đọc ảnh, độ chính xác và chi phí encode/decode. Đích đề xuất ban đầu: skills/pxpipe/scripts/lib-resolve.mjs. Đích thực tế trong gói: .agents/skills/pxpipe/scripts/lib-resolve.mjs. Bằng chứng: SOURCE_HASH_VERIFIED; ACTIVE_INVOCATION_BLOCKED.</x:v>
      </x:c>
    </x:row>
    <x:row r="148" ht="64" customHeight="1">
      <x:c r="A148" s="23" t="str">
        <x:v>P2P-FILE-0140</x:v>
      </x:c>
      <x:c r="B148" s="22" t="str">
        <x:v>Nén ngữ cảnh &amp; PXPIPE</x:v>
      </x:c>
      <x:c r="C148" s="22" t="str">
        <x:v>measure_script</x:v>
      </x:c>
      <x:c r="D148" s="22" t="str">
        <x:v>8.4.6-C/plugin/.claude/skills/pxpipe/measure.mjs</x:v>
      </x:c>
      <x:c r="E148" s="22"/>
      <x:c r="F148" s="23" t="str">
        <x:v>61F240E2</x:v>
      </x:c>
      <x:c r="G148" s="23"/>
      <x:c r="H148" s="23" t="str">
        <x:f>IF($N$3&lt;&gt;"DONE","Chờ bản mới",IF(AND(D148="",E148=""),"",IF(D148="","Thêm mới",IF(E148="","Không còn",IF(AND(D148&lt;&gt;E148,F148=G148),"Đổi tên/di chuyển",IF(F148=G148,"Không đổi","Sửa nội dung"))))))</x:f>
        <x:v>Chờ bản mới</x:v>
      </x:c>
      <x:c r="I148" s="22" t="str">
        <x:v>Chờ phân tích khi có bản mới</x:v>
      </x:c>
      <x:c r="J148" s="22" t="str">
        <x:v>Giữ nguyên byte trong source/8.4.6-C; bản Codex ghi đường dẫn nguồn và CRC. Mọi port được tạo ở file mới, không sửa mã nguồn snapshot.</x:v>
      </x:c>
      <x:c r="K148" s="22" t="str">
        <x:v>KEEP_SOURCE + PORT_SCRIPT + OPTIONAL_GATE</x:v>
      </x:c>
      <x:c r="L148" s="22" t="str">
        <x:v>.agents/skills/pxpipe/scripts/measure.mjs</x:v>
      </x:c>
      <x:c r="M148" s="22" t="str">
        <x:v>Nguồn/hash còn đủ; component bị chặn kích hoạt cho tới khi audit dependency, bảo mật và hành vi OpenAI hiện hành.</x:v>
      </x:c>
      <x:c r="N148" s="22" t="str">
        <x:v>Chờ bản mới</x:v>
      </x:c>
      <x:c r="O148" s="22" t="str">
        <x:v>Không bật mặc định; lợi ích phụ thuộc model đọc ảnh, độ chính xác và chi phí encode/decode. Đích đề xuất ban đầu: skills/pxpipe/scripts/measure.mjs. Đích thực tế trong gói: .agents/skills/pxpipe/scripts/measure.mjs. Bằng chứng: SOURCE_HASH_VERIFIED; ACTIVE_INVOCATION_BLOCKED.</x:v>
      </x:c>
    </x:row>
    <x:row r="149" ht="64" customHeight="1">
      <x:c r="A149" s="23" t="str">
        <x:v>P2P-FILE-0141</x:v>
      </x:c>
      <x:c r="B149" s="22" t="str">
        <x:v>Nén ngữ cảnh &amp; PXPIPE</x:v>
      </x:c>
      <x:c r="C149" s="22" t="str">
        <x:v>package_lock</x:v>
      </x:c>
      <x:c r="D149" s="22" t="str">
        <x:v>8.4.6-C/plugin/.claude/skills/pxpipe/package-lock.json</x:v>
      </x:c>
      <x:c r="E149" s="22"/>
      <x:c r="F149" s="23" t="str">
        <x:v>C85987B3</x:v>
      </x:c>
      <x:c r="G149" s="23"/>
      <x:c r="H149" s="23" t="str">
        <x:f>IF($N$3&lt;&gt;"DONE","Chờ bản mới",IF(AND(D149="",E149=""),"",IF(D149="","Thêm mới",IF(E149="","Không còn",IF(AND(D149&lt;&gt;E149,F149=G149),"Đổi tên/di chuyển",IF(F149=G149,"Không đổi","Sửa nội dung"))))))</x:f>
        <x:v>Chờ bản mới</x:v>
      </x:c>
      <x:c r="I149" s="22" t="str">
        <x:v>Chờ phân tích khi có bản mới</x:v>
      </x:c>
      <x:c r="J149" s="22" t="str">
        <x:v>Giữ nguyên byte trong source/8.4.6-C; bản Codex ghi đường dẫn nguồn và CRC. Mọi port được tạo ở file mới, không sửa mã nguồn snapshot.</x:v>
      </x:c>
      <x:c r="K149" s="22" t="str">
        <x:v>KEEP_SOURCE + REBUILD_DEPS + OPTIONAL_GATE</x:v>
      </x:c>
      <x:c r="L149" s="22" t="str">
        <x:v>.agents/skills/pxpipe/package-lock.json</x:v>
      </x:c>
      <x:c r="M149" s="22" t="str">
        <x:v>Nguồn/hash còn đủ; component bị chặn kích hoạt cho tới khi audit dependency, bảo mật và hành vi OpenAI hiện hành.</x:v>
      </x:c>
      <x:c r="N149" s="22" t="str">
        <x:v>Chờ bản mới</x:v>
      </x:c>
      <x:c r="O149" s="22" t="str">
        <x:v>Không bật mặc định; lợi ích phụ thuộc model đọc ảnh, độ chính xác và chi phí encode/decode. Đích đề xuất ban đầu: skills/pxpipe/package-lock.json. Đích thực tế trong gói: .agents/skills/pxpipe/package-lock.json. Bằng chứng: SOURCE_HASH_VERIFIED; ACTIVE_INVOCATION_BLOCKED.</x:v>
      </x:c>
    </x:row>
    <x:row r="150" ht="64" customHeight="1">
      <x:c r="A150" s="23" t="str">
        <x:v>P2P-FILE-0142</x:v>
      </x:c>
      <x:c r="B150" s="22" t="str">
        <x:v>Nén ngữ cảnh &amp; PXPIPE</x:v>
      </x:c>
      <x:c r="C150" s="22" t="str">
        <x:v>package_json</x:v>
      </x:c>
      <x:c r="D150" s="22" t="str">
        <x:v>8.4.6-C/plugin/.claude/skills/pxpipe/package.json</x:v>
      </x:c>
      <x:c r="E150" s="22"/>
      <x:c r="F150" s="23" t="str">
        <x:v>3C251DB4</x:v>
      </x:c>
      <x:c r="G150" s="23"/>
      <x:c r="H150" s="23" t="str">
        <x:f>IF($N$3&lt;&gt;"DONE","Chờ bản mới",IF(AND(D150="",E150=""),"",IF(D150="","Thêm mới",IF(E150="","Không còn",IF(AND(D150&lt;&gt;E150,F150=G150),"Đổi tên/di chuyển",IF(F150=G150,"Không đổi","Sửa nội dung"))))))</x:f>
        <x:v>Chờ bản mới</x:v>
      </x:c>
      <x:c r="I150" s="22" t="str">
        <x:v>Chờ phân tích khi có bản mới</x:v>
      </x:c>
      <x:c r="J150" s="22" t="str">
        <x:v>Giữ nguyên byte trong source/8.4.6-C; bản Codex ghi đường dẫn nguồn và CRC. Mọi port được tạo ở file mới, không sửa mã nguồn snapshot.</x:v>
      </x:c>
      <x:c r="K150" s="22" t="str">
        <x:v>KEEP_SOURCE + REBUILD_DEPS + OPTIONAL_GATE</x:v>
      </x:c>
      <x:c r="L150" s="22" t="str">
        <x:v>.agents/skills/pxpipe/package.json</x:v>
      </x:c>
      <x:c r="M150" s="22" t="str">
        <x:v>Nguồn/hash còn đủ; component bị chặn kích hoạt cho tới khi audit dependency, bảo mật và hành vi OpenAI hiện hành.</x:v>
      </x:c>
      <x:c r="N150" s="22" t="str">
        <x:v>Chờ bản mới</x:v>
      </x:c>
      <x:c r="O150" s="22" t="str">
        <x:v>Không bật mặc định; lợi ích phụ thuộc model đọc ảnh, độ chính xác và chi phí encode/decode. Đích đề xuất ban đầu: skills/pxpipe/package.json. Đích thực tế trong gói: .agents/skills/pxpipe/package.json. Bằng chứng: SOURCE_HASH_VERIFIED; ACTIVE_INVOCATION_BLOCKED.</x:v>
      </x:c>
    </x:row>
    <x:row r="151" ht="64" customHeight="1">
      <x:c r="A151" s="23" t="str">
        <x:v>P2P-FILE-0143</x:v>
      </x:c>
      <x:c r="B151" s="22" t="str">
        <x:v>Nén ngữ cảnh &amp; PXPIPE</x:v>
      </x:c>
      <x:c r="C151" s="22" t="str">
        <x:v>pxpipe_sample</x:v>
      </x:c>
      <x:c r="D151" s="22" t="str">
        <x:v>8.4.6-C/plugin/.claude/skills/pxpipe/samples/gen-needles.mjs</x:v>
      </x:c>
      <x:c r="E151" s="22"/>
      <x:c r="F151" s="23" t="str">
        <x:v>58A91FE8</x:v>
      </x:c>
      <x:c r="G151" s="23"/>
      <x:c r="H151" s="23" t="str">
        <x:f>IF($N$3&lt;&gt;"DONE","Chờ bản mới",IF(AND(D151="",E151=""),"",IF(D151="","Thêm mới",IF(E151="","Không còn",IF(AND(D151&lt;&gt;E151,F151=G151),"Đổi tên/di chuyển",IF(F151=G151,"Không đổi","Sửa nội dung"))))))</x:f>
        <x:v>Chờ bản mới</x:v>
      </x:c>
      <x:c r="I151" s="22" t="str">
        <x:v>Chờ phân tích khi có bản mới</x:v>
      </x:c>
      <x:c r="J151" s="22" t="str">
        <x:v>Giữ nguyên byte trong source/8.4.6-C; bản Codex ghi đường dẫn nguồn và CRC. Mọi port được tạo ở file mới, không sửa mã nguồn snapshot.</x:v>
      </x:c>
      <x:c r="K151" s="22" t="str">
        <x:v>KEEP_SOURCE + PORT_SCRIPT + OPTIONAL_GATE</x:v>
      </x:c>
      <x:c r="L151" s="22" t="str">
        <x:v>.agents/skills/pxpipe/samples/gen-needles.mjs</x:v>
      </x:c>
      <x:c r="M151" s="22" t="str">
        <x:v>Nguồn/hash còn đủ; component bị chặn kích hoạt cho tới khi audit dependency, bảo mật và hành vi OpenAI hiện hành.</x:v>
      </x:c>
      <x:c r="N151" s="22" t="str">
        <x:v>Chờ bản mới</x:v>
      </x:c>
      <x:c r="O151" s="22" t="str">
        <x:v>Không bật mặc định; lợi ích phụ thuộc model đọc ảnh, độ chính xác và chi phí encode/decode. Đích đề xuất ban đầu: skills/pxpipe/scripts/gen-needles.mjs. Đích thực tế trong gói: .agents/skills/pxpipe/samples/gen-needles.mjs. Bằng chứng: SOURCE_HASH_VERIFIED; ACTIVE_INVOCATION_BLOCKED.</x:v>
      </x:c>
    </x:row>
    <x:row r="152" ht="64" customHeight="1">
      <x:c r="A152" s="23" t="str">
        <x:v>P2P-FILE-0144</x:v>
      </x:c>
      <x:c r="B152" s="22" t="str">
        <x:v>Skill phụ: RAG toolkit</x:v>
      </x:c>
      <x:c r="C152" s="22" t="str">
        <x:v>rag_grounding_skill</x:v>
      </x:c>
      <x:c r="D152" s="22" t="str">
        <x:v>8.4.6-C/plugin/.claude/skills/rag-grounding/SKILL.md</x:v>
      </x:c>
      <x:c r="E152" s="22"/>
      <x:c r="F152" s="23" t="str">
        <x:v>856CBB01</x:v>
      </x:c>
      <x:c r="G152" s="23"/>
      <x:c r="H152" s="23" t="str">
        <x:f>IF($N$3&lt;&gt;"DONE","Chờ bản mới",IF(AND(D152="",E152=""),"",IF(D152="","Thêm mới",IF(E152="","Không còn",IF(AND(D152&lt;&gt;E152,F152=G152),"Đổi tên/di chuyển",IF(F152=G152,"Không đổi","Sửa nội dung"))))))</x:f>
        <x:v>Chờ bản mới</x:v>
      </x:c>
      <x:c r="I152" s="22" t="str">
        <x:v>Chờ phân tích khi có bản mới</x:v>
      </x:c>
      <x:c r="J152" s="22" t="str">
        <x:v>Giữ nguyên byte trong source/8.4.6-C; bản Codex ghi đường dẫn nguồn và CRC.</x:v>
      </x:c>
      <x:c r="K152" s="22" t="str">
        <x:v>KEEP_SOURCE + TRANSLATE_SKILL</x:v>
      </x:c>
      <x:c r="L152" s="22" t="str">
        <x:v>.agents/skills/rag-grounding/SKILL.md</x:v>
      </x:c>
      <x:c r="M152" s="22" t="str">
        <x:v>SKILL.md hợp lệ; gọi $skill đúng; trigger tự động không quá rộng; 3 ca đơn giản/trung bình/đối kháng đạt parity.</x:v>
      </x:c>
      <x:c r="N152" s="22" t="str">
        <x:v>Chờ bản mới</x:v>
      </x:c>
      <x:c r="O152" s="22" t="str">
        <x:v>Không thấy rủi ro riêng ngoài yêu cầu parity và truy vết nguồn. Đích đề xuất ban đầu: skills/rag-grounding/SKILL.md. Đích thực tế trong gói: .agents/skills/rag-grounding/SKILL.md. Bằng chứng: TARGET_PRESENT; SKILL_VALIDATOR_PASS.</x:v>
      </x:c>
    </x:row>
    <x:row r="153" ht="64" customHeight="1">
      <x:c r="A153" s="23" t="str">
        <x:v>P2P-FILE-0145</x:v>
      </x:c>
      <x:c r="B153" s="22" t="str">
        <x:v>Dữ liệu LIVE &amp; model/vendor</x:v>
      </x:c>
      <x:c r="C153" s="22" t="str">
        <x:v>model_templates</x:v>
      </x:c>
      <x:c r="D153" s="22" t="str">
        <x:v>8.4.6-C/plugin/.claude/skills/rag-grounding/reference/model_templates.md</x:v>
      </x:c>
      <x:c r="E153" s="22"/>
      <x:c r="F153" s="23" t="str">
        <x:v>95A27284</x:v>
      </x:c>
      <x:c r="G153" s="23"/>
      <x:c r="H153" s="23" t="str">
        <x:f>IF($N$3&lt;&gt;"DONE","Chờ bản mới",IF(AND(D153="",E153=""),"",IF(D153="","Thêm mới",IF(E153="","Không còn",IF(AND(D153&lt;&gt;E153,F153=G153),"Đổi tên/di chuyển",IF(F153=G153,"Không đổi","Sửa nội dung"))))))</x:f>
        <x:v>Chờ bản mới</x:v>
      </x:c>
      <x:c r="I153" s="22" t="str">
        <x:v>Chờ phân tích khi có bản mới</x:v>
      </x:c>
      <x:c r="J153" s="22" t="str">
        <x:v>Giữ nguyên byte trong source/8.4.6-C; bản Codex ghi đường dẫn nguồn và CRC. Snapshot chỉ là bằng chứng lịch sử; lớp LIVE mới phải có nguồn và ngày kiểm chứng.</x:v>
      </x:c>
      <x:c r="K153" s="22" t="str">
        <x:v>KEEP_SOURCE + VERIFY_LIVE + REWRITE_NATIVE</x:v>
      </x:c>
      <x:c r="L153" s="22" t="str">
        <x:v>.agents/skills/rag-grounding/references/model_templates.md</x:v>
      </x:c>
      <x:c r="M153" s="22" t="str">
        <x:v>Mỗi claim có nguồn chính thức + ngày kiểm chứng; cảnh báo stale; offline fallback không bịa dữ liệu.</x:v>
      </x:c>
      <x:c r="N153" s="22" t="str">
        <x:v>Chờ bản mới</x:v>
      </x:c>
      <x:c r="O153" s="22" t="str">
        <x:v>Tên model, giá, API và context có thể thay đổi; không coi snapshot là dữ liệu hiện hành. Đích đề xuất ban đầu: skills/rag-grounding/references/model_templates.md. Đích thực tế trong gói: .agents/skills/rag-grounding/references/model_templates.md. Bằng chứng: SOURCE_HASH_VERIFIED; FRESHNESS_GATE_REQUIRED.</x:v>
      </x:c>
    </x:row>
    <x:row r="154" ht="64" customHeight="1">
      <x:c r="A154" s="23" t="str">
        <x:v>P2P-FILE-0146</x:v>
      </x:c>
      <x:c r="B154" s="22" t="str">
        <x:v>Skill phụ: RAG toolkit</x:v>
      </x:c>
      <x:c r="C154" s="22" t="str">
        <x:v>model_template_source</x:v>
      </x:c>
      <x:c r="D154" s="22" t="str">
        <x:v>8.4.6-C/plugin/.claude/skills/rag-grounding/reference/model_templates_source.txt</x:v>
      </x:c>
      <x:c r="E154" s="22"/>
      <x:c r="F154" s="23" t="str">
        <x:v>D5C11987</x:v>
      </x:c>
      <x:c r="G154" s="23"/>
      <x:c r="H154" s="23" t="str">
        <x:f>IF($N$3&lt;&gt;"DONE","Chờ bản mới",IF(AND(D154="",E154=""),"",IF(D154="","Thêm mới",IF(E154="","Không còn",IF(AND(D154&lt;&gt;E154,F154=G154),"Đổi tên/di chuyển",IF(F154=G154,"Không đổi","Sửa nội dung"))))))</x:f>
        <x:v>Chờ bản mới</x:v>
      </x:c>
      <x:c r="I154" s="22" t="str">
        <x:v>Chờ phân tích khi có bản mới</x:v>
      </x:c>
      <x:c r="J154" s="22" t="str">
        <x:v>Giữ nguyên byte trong source/8.4.6-C; bản Codex ghi đường dẫn nguồn và CRC.</x:v>
      </x:c>
      <x:c r="K154" s="22" t="str">
        <x:v>KEEP_SOURCE + KEEP_REFERENCE</x:v>
      </x:c>
      <x:c r="L154" s="22" t="str">
        <x:v>.agents/skills/rag-grounding/references/model_templates_source.txt</x:v>
      </x:c>
      <x:c r="M154" s="22" t="str">
        <x:v>CRC nguồn khớp; nội dung không mất; reference chỉ nạp khi cần; 3 ca parity và một ca không kích hoạt ngoài ý muốn.</x:v>
      </x:c>
      <x:c r="N154" s="22" t="str">
        <x:v>Chờ bản mới</x:v>
      </x:c>
      <x:c r="O154" s="22" t="str">
        <x:v>Không thấy rủi ro riêng ngoài yêu cầu parity và truy vết nguồn. Đích đề xuất ban đầu: skills/rag-grounding/references/model_templates_source.txt. Đích thực tế trong gói: .agents/skills/rag-grounding/references/model_templates_source.txt. Bằng chứng: SOURCE_HASH_VERIFIED; TARGET_PRESENT; ON_DEMAND_LOAD.</x:v>
      </x:c>
    </x:row>
    <x:row r="155" ht="64" customHeight="1">
      <x:c r="A155" s="23" t="str">
        <x:v>P2P-FILE-0147</x:v>
      </x:c>
      <x:c r="B155" s="22" t="str">
        <x:v>Skill phụ: RAG toolkit</x:v>
      </x:c>
      <x:c r="C155" s="22" t="str">
        <x:v>rag_prep_skill</x:v>
      </x:c>
      <x:c r="D155" s="22" t="str">
        <x:v>8.4.6-C/plugin/.claude/skills/rag-prep/SKILL.md</x:v>
      </x:c>
      <x:c r="E155" s="22"/>
      <x:c r="F155" s="23" t="str">
        <x:v>7271F713</x:v>
      </x:c>
      <x:c r="G155" s="23"/>
      <x:c r="H155" s="23" t="str">
        <x:f>IF($N$3&lt;&gt;"DONE","Chờ bản mới",IF(AND(D155="",E155=""),"",IF(D155="","Thêm mới",IF(E155="","Không còn",IF(AND(D155&lt;&gt;E155,F155=G155),"Đổi tên/di chuyển",IF(F155=G155,"Không đổi","Sửa nội dung"))))))</x:f>
        <x:v>Chờ bản mới</x:v>
      </x:c>
      <x:c r="I155" s="22" t="str">
        <x:v>Chờ phân tích khi có bản mới</x:v>
      </x:c>
      <x:c r="J155" s="22" t="str">
        <x:v>Giữ nguyên byte trong source/8.4.6-C; bản Codex ghi đường dẫn nguồn và CRC.</x:v>
      </x:c>
      <x:c r="K155" s="22" t="str">
        <x:v>KEEP_SOURCE + TRANSLATE_SKILL</x:v>
      </x:c>
      <x:c r="L155" s="22" t="str">
        <x:v>.agents/skills/rag-prep/SKILL.md</x:v>
      </x:c>
      <x:c r="M155" s="22" t="str">
        <x:v>SKILL.md hợp lệ; gọi $skill đúng; trigger tự động không quá rộng; 3 ca đơn giản/trung bình/đối kháng đạt parity.</x:v>
      </x:c>
      <x:c r="N155" s="22" t="str">
        <x:v>Chờ bản mới</x:v>
      </x:c>
      <x:c r="O155" s="22" t="str">
        <x:v>Không thấy rủi ro riêng ngoài yêu cầu parity và truy vết nguồn. Đích đề xuất ban đầu: skills/rag-prep/SKILL.md. Đích thực tế trong gói: .agents/skills/rag-prep/SKILL.md. Bằng chứng: TARGET_PRESENT; SKILL_VALIDATOR_PASS.</x:v>
      </x:c>
    </x:row>
    <x:row r="156" ht="64" customHeight="1">
      <x:c r="A156" s="23" t="str">
        <x:v>P2P-FILE-0148</x:v>
      </x:c>
      <x:c r="B156" s="22" t="str">
        <x:v>Skill phụ: RAG toolkit</x:v>
      </x:c>
      <x:c r="C156" s="22" t="str">
        <x:v>rag_metaprompt</x:v>
      </x:c>
      <x:c r="D156" s="22" t="str">
        <x:v>8.4.6-C/plugin/.claude/skills/rag-prep/reference/rag_metaprompt_standard.md</x:v>
      </x:c>
      <x:c r="E156" s="22"/>
      <x:c r="F156" s="23" t="str">
        <x:v>4B95ED1A</x:v>
      </x:c>
      <x:c r="G156" s="23"/>
      <x:c r="H156" s="23" t="str">
        <x:f>IF($N$3&lt;&gt;"DONE","Chờ bản mới",IF(AND(D156="",E156=""),"",IF(D156="","Thêm mới",IF(E156="","Không còn",IF(AND(D156&lt;&gt;E156,F156=G156),"Đổi tên/di chuyển",IF(F156=G156,"Không đổi","Sửa nội dung"))))))</x:f>
        <x:v>Chờ bản mới</x:v>
      </x:c>
      <x:c r="I156" s="22" t="str">
        <x:v>Chờ phân tích khi có bản mới</x:v>
      </x:c>
      <x:c r="J156" s="22" t="str">
        <x:v>Giữ cả các file gốc trong source snapshot; runtime chỉ kích hoạt một bản canonical để tránh nạp kép.</x:v>
      </x:c>
      <x:c r="K156" s="22" t="str">
        <x:v>KEEP_SOURCE + KEEP_REFERENCE</x:v>
      </x:c>
      <x:c r="L156" s="22" t="str">
        <x:v>.agents/skills/rag-prep/references/rag_metaprompt_standard.md</x:v>
      </x:c>
      <x:c r="M156" s="22" t="str">
        <x:v>CRC nguồn khớp; nội dung không mất; reference chỉ nạp khi cần; 3 ca parity và một ca không kích hoạt ngoài ý muốn.</x:v>
      </x:c>
      <x:c r="N156" s="22" t="str">
        <x:v>Chờ bản mới</x:v>
      </x:c>
      <x:c r="O156" s="22" t="str">
        <x:v>Không thấy rủi ro riêng ngoài yêu cầu parity và truy vết nguồn. Đích đề xuất ban đầu: skills/rag-prep/references/rag_metaprompt_standard.md. Đích thực tế trong gói: .agents/skills/rag-prep/references/rag_metaprompt_standard.md. Bằng chứng: SOURCE_HASH_VERIFIED; TARGET_PRESENT; ON_DEMAND_LOAD.</x:v>
      </x:c>
    </x:row>
    <x:row r="157" ht="64" customHeight="1">
      <x:c r="A157" s="23" t="str">
        <x:v>P2P-FILE-0149</x:v>
      </x:c>
      <x:c r="B157" s="22" t="str">
        <x:v>Skill phụ: RAG toolkit</x:v>
      </x:c>
      <x:c r="C157" s="22" t="str">
        <x:v>rag_router_skill</x:v>
      </x:c>
      <x:c r="D157" s="22" t="str">
        <x:v>8.4.6-C/plugin/.claude/skills/rag-router/SKILL.md</x:v>
      </x:c>
      <x:c r="E157" s="22"/>
      <x:c r="F157" s="23" t="str">
        <x:v>9AEEA612</x:v>
      </x:c>
      <x:c r="G157" s="23"/>
      <x:c r="H157" s="23" t="str">
        <x:f>IF($N$3&lt;&gt;"DONE","Chờ bản mới",IF(AND(D157="",E157=""),"",IF(D157="","Thêm mới",IF(E157="","Không còn",IF(AND(D157&lt;&gt;E157,F157=G157),"Đổi tên/di chuyển",IF(F157=G157,"Không đổi","Sửa nội dung"))))))</x:f>
        <x:v>Chờ bản mới</x:v>
      </x:c>
      <x:c r="I157" s="22" t="str">
        <x:v>Chờ phân tích khi có bản mới</x:v>
      </x:c>
      <x:c r="J157" s="22" t="str">
        <x:v>Giữ nguyên byte trong source/8.4.6-C; bản Codex ghi đường dẫn nguồn và CRC.</x:v>
      </x:c>
      <x:c r="K157" s="22" t="str">
        <x:v>KEEP_SOURCE + TRANSLATE_SKILL</x:v>
      </x:c>
      <x:c r="L157" s="22" t="str">
        <x:v>.agents/skills/rag-router/SKILL.md</x:v>
      </x:c>
      <x:c r="M157" s="22" t="str">
        <x:v>SKILL.md hợp lệ; gọi $skill đúng; trigger tự động không quá rộng; 3 ca đơn giản/trung bình/đối kháng đạt parity.</x:v>
      </x:c>
      <x:c r="N157" s="22" t="str">
        <x:v>Chờ bản mới</x:v>
      </x:c>
      <x:c r="O157" s="22" t="str">
        <x:v>Không thấy rủi ro riêng ngoài yêu cầu parity và truy vết nguồn. Đích đề xuất ban đầu: skills/rag-router/SKILL.md. Đích thực tế trong gói: .agents/skills/rag-router/SKILL.md. Bằng chứng: TARGET_PRESENT; SKILL_VALIDATOR_PASS.</x:v>
      </x:c>
    </x:row>
    <x:row r="158" ht="64" customHeight="1">
      <x:c r="A158" s="23" t="str">
        <x:v>P2P-FILE-0150</x:v>
      </x:c>
      <x:c r="B158" s="22" t="str">
        <x:v>Tài liệu &amp; truy vết</x:v>
      </x:c>
      <x:c r="C158" s="22" t="str">
        <x:v>plugin_install</x:v>
      </x:c>
      <x:c r="D158" s="22" t="str">
        <x:v>8.4.6-C/plugin/INSTALL.md</x:v>
      </x:c>
      <x:c r="E158" s="22"/>
      <x:c r="F158" s="23" t="str">
        <x:v>C5707EE3</x:v>
      </x:c>
      <x:c r="G158" s="23"/>
      <x:c r="H158" s="23" t="str">
        <x:f>IF($N$3&lt;&gt;"DONE","Chờ bản mới",IF(AND(D158="",E158=""),"",IF(D158="","Thêm mới",IF(E158="","Không còn",IF(AND(D158&lt;&gt;E158,F158=G158),"Đổi tên/di chuyển",IF(F158=G158,"Không đổi","Sửa nội dung"))))))</x:f>
        <x:v>Chờ bản mới</x:v>
      </x:c>
      <x:c r="I158" s="22" t="str">
        <x:v>Chờ phân tích khi có bản mới</x:v>
      </x:c>
      <x:c r="J158" s="22" t="str">
        <x:v>Giữ nguyên byte trong source/8.4.6-C; bản Codex ghi đường dẫn nguồn và CRC.</x:v>
      </x:c>
      <x:c r="K158" s="22" t="str">
        <x:v>KEEP_SOURCE + ADAPT_DOCS</x:v>
      </x:c>
      <x:c r="L158" s="22" t="str">
        <x:v>BAT-DAU.md</x:v>
      </x:c>
      <x:c r="M158" s="22" t="str">
        <x:v>CRC nguồn khớp ZIP; liên kết không hỏng; tiếng Nga/Việt/Anh hiển thị đúng; hướng dẫn Codex được người mới làm lại thành công.</x:v>
      </x:c>
      <x:c r="N158" s="22" t="str">
        <x:v>Chờ bản mới</x:v>
      </x:c>
      <x:c r="O158" s="22" t="str">
        <x:v>Không thấy rủi ro riêng ngoài yêu cầu parity và truy vết nguồn. Đích đề xuất ban đầu: docs/INSTALL.md. Đích thực tế trong gói: BAT-DAU.md. Bằng chứng: SOURCE_HASH_VERIFIED; ADAPTED_TARGET_PRESENT.</x:v>
      </x:c>
    </x:row>
    <x:row r="159" ht="64" customHeight="1">
      <x:c r="A159" s="23" t="str">
        <x:v>P2P-FILE-0151</x:v>
      </x:c>
      <x:c r="B159" s="22" t="str">
        <x:v>Nền tảng &amp; đóng gói Codex</x:v>
      </x:c>
      <x:c r="C159" s="22" t="str">
        <x:v>pack_ps1</x:v>
      </x:c>
      <x:c r="D159" s="22" t="str">
        <x:v>8.4.6-C/plugin/pack.ps1</x:v>
      </x:c>
      <x:c r="E159" s="22"/>
      <x:c r="F159" s="23" t="str">
        <x:v>E50F7527</x:v>
      </x:c>
      <x:c r="G159" s="23"/>
      <x:c r="H159" s="23" t="str">
        <x:f>IF($N$3&lt;&gt;"DONE","Chờ bản mới",IF(AND(D159="",E159=""),"",IF(D159="","Thêm mới",IF(E159="","Không còn",IF(AND(D159&lt;&gt;E159,F159=G159),"Đổi tên/di chuyển",IF(F159=G159,"Không đổi","Sửa nội dung"))))))</x:f>
        <x:v>Chờ bản mới</x:v>
      </x:c>
      <x:c r="I159" s="22" t="str">
        <x:v>Chờ phân tích khi có bản mới</x:v>
      </x:c>
      <x:c r="J159" s="22" t="str">
        <x:v>Giữ nguyên byte trong source/8.4.6-C; bản Codex ghi đường dẫn nguồn và CRC. Mọi port được tạo ở file mới, không sửa mã nguồn snapshot.</x:v>
      </x:c>
      <x:c r="K159" s="22" t="str">
        <x:v>KEEP_SOURCE + PORT_SCRIPT + PARITY_TEST</x:v>
      </x:c>
      <x:c r="L159" s="22" t="str">
        <x:v>scripts/package.ps1</x:v>
      </x:c>
      <x:c r="M159" s="22" t="str">
        <x:v>Build Windows/Linux thành công; manifest và checksum nhất quán; gói cài mới/gỡ được.</x:v>
      </x:c>
      <x:c r="N159" s="22" t="str">
        <x:v>Chờ bản mới</x:v>
      </x:c>
      <x:c r="O159" s="22" t="str">
        <x:v>Không thấy rủi ro riêng ngoài yêu cầu parity và truy vết nguồn. Đích đề xuất ban đầu: scripts/build-plugin.ps1. Đích thực tế trong gói: scripts/package.ps1. Bằng chứng: NATIVE_TARGET_PRESENT; STRUCTURAL_CHECK_PASS; POWERSHELL_STATIC_REVIEW_ONLY.</x:v>
      </x:c>
    </x:row>
    <x:row r="160" ht="64" customHeight="1">
      <x:c r="A160" s="23" t="str">
        <x:v>P2P-FILE-0152</x:v>
      </x:c>
      <x:c r="B160" s="22" t="str">
        <x:v>Nền tảng &amp; đóng gói Codex</x:v>
      </x:c>
      <x:c r="C160" s="22" t="str">
        <x:v>pack_sh</x:v>
      </x:c>
      <x:c r="D160" s="22" t="str">
        <x:v>8.4.6-C/plugin/pack.sh</x:v>
      </x:c>
      <x:c r="E160" s="22"/>
      <x:c r="F160" s="23" t="str">
        <x:v>3A71CBF8</x:v>
      </x:c>
      <x:c r="G160" s="23"/>
      <x:c r="H160" s="23" t="str">
        <x:f>IF($N$3&lt;&gt;"DONE","Chờ bản mới",IF(AND(D160="",E160=""),"",IF(D160="","Thêm mới",IF(E160="","Không còn",IF(AND(D160&lt;&gt;E160,F160=G160),"Đổi tên/di chuyển",IF(F160=G160,"Không đổi","Sửa nội dung"))))))</x:f>
        <x:v>Chờ bản mới</x:v>
      </x:c>
      <x:c r="I160" s="22" t="str">
        <x:v>Chờ phân tích khi có bản mới</x:v>
      </x:c>
      <x:c r="J160" s="22" t="str">
        <x:v>Giữ nguyên byte trong source/8.4.6-C; bản Codex ghi đường dẫn nguồn và CRC. Mọi port được tạo ở file mới, không sửa mã nguồn snapshot.</x:v>
      </x:c>
      <x:c r="K160" s="22" t="str">
        <x:v>KEEP_SOURCE + PORT_SCRIPT + PARITY_TEST</x:v>
      </x:c>
      <x:c r="L160" s="22" t="str">
        <x:v>scripts/package.sh</x:v>
      </x:c>
      <x:c r="M160" s="22" t="str">
        <x:v>Build Windows/Linux thành công; manifest và checksum nhất quán; gói cài mới/gỡ được.</x:v>
      </x:c>
      <x:c r="N160" s="22" t="str">
        <x:v>Chờ bản mới</x:v>
      </x:c>
      <x:c r="O160" s="22" t="str">
        <x:v>Không thấy rủi ro riêng ngoài yêu cầu parity và truy vết nguồn. Đích đề xuất ban đầu: scripts/build-plugin.sh. Đích thực tế trong gói: scripts/package.sh. Bằng chứng: NATIVE_TARGET_PRESENT; STRUCTURAL_CHECK_PASS; BASH_SYNTAX_PASS.</x:v>
      </x:c>
    </x:row>
  </x:sheetData>
  <x:mergeCells>
    <x:mergeCell ref="A1:O1"/>
    <x:mergeCell ref="A2:O2"/>
    <x:mergeCell ref="A4:B4"/>
    <x:mergeCell ref="A5:B6"/>
    <x:mergeCell ref="C4:D4"/>
    <x:mergeCell ref="C5:D6"/>
    <x:mergeCell ref="E4:F4"/>
    <x:mergeCell ref="E5:F6"/>
    <x:mergeCell ref="G4:H4"/>
    <x:mergeCell ref="G5:H6"/>
    <x:mergeCell ref="I4:J4"/>
    <x:mergeCell ref="I5:J6"/>
    <x:mergeCell ref="K4:L4"/>
    <x:mergeCell ref="K5:L6"/>
    <x:mergeCell ref="M4:N4"/>
    <x:mergeCell ref="M5:N6"/>
  </x:mergeCells>
  <x:conditionalFormatting sqref="H9:H160">
    <x:cfRule type="containsText" dxfId="15" priority="1" operator="containsText" text="Chờ"/>
    <x:cfRule type="containsText" dxfId="16" priority="2" operator="containsText" text="Không đổi"/>
    <x:cfRule type="containsText" dxfId="17" priority="3" operator="containsText" text="Sửa nội dung"/>
    <x:cfRule type="containsText" dxfId="18" priority="4" operator="containsText" text="Thêm mới"/>
    <x:cfRule type="containsText" dxfId="19" priority="5" operator="containsText" text="Không còn"/>
    <x:cfRule type="containsText" dxfId="20" priority="6" operator="containsText" text="Đổi tên"/>
  </x:conditionalFormatting>
  <x:dataValidations count="1">
    <x:dataValidation type="list" sqref="N9:N160">
      <x:formula1>"Chờ bản mới,Chưa xử lý,Đang phân tích,Đã ánh xạ,Đã port,Đã kiểm thử,Bị chặn"</x:formula1>
    </x:dataValidation>
  </x:dataValidations>
  <x:pageMargins left="0.7" right="0.7" top="0.75" bottom="0.75" header="0.3" footer="0.3"/>
  <x:tableParts count="1">
    <x:tablePart xmlns:r="http://schemas.openxmlformats.org/officeDocument/2006/relationships" r:id="R1f2c4f1fbdb548f0"/>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16" hidden="0" customWidth="1"/>
    <x:col min="2" max="2" width="16" hidden="0" customWidth="1"/>
    <x:col min="3" max="3" width="58" hidden="0" customWidth="1"/>
    <x:col min="4" max="4" width="70" hidden="0" customWidth="1"/>
    <x:col min="5" max="5" width="12" hidden="0" customWidth="1"/>
    <x:col min="6" max="6" width="12" hidden="0" customWidth="1"/>
    <x:col min="7" max="7" width="15" hidden="0" customWidth="1"/>
    <x:col min="8" max="8" width="20" hidden="0" customWidth="1"/>
    <x:col min="9" max="9" width="12" hidden="0" customWidth="1"/>
    <x:col min="10" max="10" width="12" hidden="0" customWidth="1"/>
    <x:col min="11" max="11" width="24" hidden="0" customWidth="1"/>
    <x:col min="12" max="12" width="17" hidden="0" customWidth="1"/>
    <x:col min="13" max="13" width="38" hidden="0" customWidth="1"/>
    <x:col min="14" max="14" width="56" hidden="0" customWidth="1"/>
  </x:cols>
  <x:sheetData>
    <x:row r="1" ht="34" customHeight="1">
      <x:c r="A1" s="4" t="str">
        <x:v>LỊCH SỬ CẬP NHẬT — MỖI RELEASE MỘT DÒNG, KHÔNG GHI ĐÈ LỊCH SỬ</x:v>
      </x:c>
      <x:c r="B1" s="4" t="str">
        <x:v>LỊCH SỬ CẬP NHẬT — MỖI RELEASE MỘT DÒNG, KHÔNG GHI ĐÈ LỊCH SỬ</x:v>
      </x:c>
      <x:c r="C1" s="4" t="str">
        <x:v>LỊCH SỬ CẬP NHẬT — MỖI RELEASE MỘT DÒNG, KHÔNG GHI ĐÈ LỊCH SỬ</x:v>
      </x:c>
      <x:c r="D1" s="4" t="str">
        <x:v>LỊCH SỬ CẬP NHẬT — MỖI RELEASE MỘT DÒNG, KHÔNG GHI ĐÈ LỊCH SỬ</x:v>
      </x:c>
      <x:c r="E1" s="4" t="str">
        <x:v>LỊCH SỬ CẬP NHẬT — MỖI RELEASE MỘT DÒNG, KHÔNG GHI ĐÈ LỊCH SỬ</x:v>
      </x:c>
      <x:c r="F1" s="4" t="str">
        <x:v>LỊCH SỬ CẬP NHẬT — MỖI RELEASE MỘT DÒNG, KHÔNG GHI ĐÈ LỊCH SỬ</x:v>
      </x:c>
      <x:c r="G1" s="4" t="str">
        <x:v>LỊCH SỬ CẬP NHẬT — MỖI RELEASE MỘT DÒNG, KHÔNG GHI ĐÈ LỊCH SỬ</x:v>
      </x:c>
      <x:c r="H1" s="4" t="str">
        <x:v>LỊCH SỬ CẬP NHẬT — MỖI RELEASE MỘT DÒNG, KHÔNG GHI ĐÈ LỊCH SỬ</x:v>
      </x:c>
      <x:c r="I1" s="4" t="str">
        <x:v>LỊCH SỬ CẬP NHẬT — MỖI RELEASE MỘT DÒNG, KHÔNG GHI ĐÈ LỊCH SỬ</x:v>
      </x:c>
      <x:c r="J1" s="4" t="str">
        <x:v>LỊCH SỬ CẬP NHẬT — MỖI RELEASE MỘT DÒNG, KHÔNG GHI ĐÈ LỊCH SỬ</x:v>
      </x:c>
      <x:c r="K1" s="4" t="str">
        <x:v>LỊCH SỬ CẬP NHẬT — MỖI RELEASE MỘT DÒNG, KHÔNG GHI ĐÈ LỊCH SỬ</x:v>
      </x:c>
      <x:c r="L1" s="4" t="str">
        <x:v>LỊCH SỬ CẬP NHẬT — MỖI RELEASE MỘT DÒNG, KHÔNG GHI ĐÈ LỊCH SỬ</x:v>
      </x:c>
      <x:c r="M1" s="4" t="str">
        <x:v>LỊCH SỬ CẬP NHẬT — MỖI RELEASE MỘT DÒNG, KHÔNG GHI ĐÈ LỊCH SỬ</x:v>
      </x:c>
      <x:c r="N1" s="4" t="str">
        <x:v>LỊCH SỬ CẬP NHẬT — MỖI RELEASE MỘT DÒNG, KHÔNG GHI ĐÈ LỊCH SỬ</x:v>
      </x:c>
    </x:row>
    <x:row r="2" ht="32" customHeight="1">
      <x:c r="A2" s="8" t="str">
        <x:v>Dòng đầu là baseline 8.4.6-C. Khi cập nhật, AI thêm một dòng mới sau khi toàn bộ phép đối chiếu và kiểm thử đã đạt.</x:v>
      </x:c>
      <x:c r="B2" s="8" t="str">
        <x:v>Dòng đầu là baseline 8.4.6-C. Khi cập nhật, AI thêm một dòng mới sau khi toàn bộ phép đối chiếu và kiểm thử đã đạt.</x:v>
      </x:c>
      <x:c r="C2" s="8" t="str">
        <x:v>Dòng đầu là baseline 8.4.6-C. Khi cập nhật, AI thêm một dòng mới sau khi toàn bộ phép đối chiếu và kiểm thử đã đạt.</x:v>
      </x:c>
      <x:c r="D2" s="8" t="str">
        <x:v>Dòng đầu là baseline 8.4.6-C. Khi cập nhật, AI thêm một dòng mới sau khi toàn bộ phép đối chiếu và kiểm thử đã đạt.</x:v>
      </x:c>
      <x:c r="E2" s="8" t="str">
        <x:v>Dòng đầu là baseline 8.4.6-C. Khi cập nhật, AI thêm một dòng mới sau khi toàn bộ phép đối chiếu và kiểm thử đã đạt.</x:v>
      </x:c>
      <x:c r="F2" s="8" t="str">
        <x:v>Dòng đầu là baseline 8.4.6-C. Khi cập nhật, AI thêm một dòng mới sau khi toàn bộ phép đối chiếu và kiểm thử đã đạt.</x:v>
      </x:c>
      <x:c r="G2" s="8" t="str">
        <x:v>Dòng đầu là baseline 8.4.6-C. Khi cập nhật, AI thêm một dòng mới sau khi toàn bộ phép đối chiếu và kiểm thử đã đạt.</x:v>
      </x:c>
      <x:c r="H2" s="8" t="str">
        <x:v>Dòng đầu là baseline 8.4.6-C. Khi cập nhật, AI thêm một dòng mới sau khi toàn bộ phép đối chiếu và kiểm thử đã đạt.</x:v>
      </x:c>
      <x:c r="I2" s="8" t="str">
        <x:v>Dòng đầu là baseline 8.4.6-C. Khi cập nhật, AI thêm một dòng mới sau khi toàn bộ phép đối chiếu và kiểm thử đã đạt.</x:v>
      </x:c>
      <x:c r="J2" s="8" t="str">
        <x:v>Dòng đầu là baseline 8.4.6-C. Khi cập nhật, AI thêm một dòng mới sau khi toàn bộ phép đối chiếu và kiểm thử đã đạt.</x:v>
      </x:c>
      <x:c r="K2" s="8" t="str">
        <x:v>Dòng đầu là baseline 8.4.6-C. Khi cập nhật, AI thêm một dòng mới sau khi toàn bộ phép đối chiếu và kiểm thử đã đạt.</x:v>
      </x:c>
      <x:c r="L2" s="8" t="str">
        <x:v>Dòng đầu là baseline 8.4.6-C. Khi cập nhật, AI thêm một dòng mới sau khi toàn bộ phép đối chiếu và kiểm thử đã đạt.</x:v>
      </x:c>
      <x:c r="M2" s="8" t="str">
        <x:v>Dòng đầu là baseline 8.4.6-C. Khi cập nhật, AI thêm một dòng mới sau khi toàn bộ phép đối chiếu và kiểm thử đã đạt.</x:v>
      </x:c>
      <x:c r="N2" s="8" t="str">
        <x:v>Dòng đầu là baseline 8.4.6-C. Khi cập nhật, AI thêm một dòng mới sau khi toàn bộ phép đối chiếu và kiểm thử đã đạt.</x:v>
      </x:c>
    </x:row>
    <x:row r="4">
      <x:c r="A4" s="18" t="str">
        <x:v>Release</x:v>
      </x:c>
      <x:c r="B4" s="18" t="str">
        <x:v>Ngày release</x:v>
      </x:c>
      <x:c r="C4" s="18" t="str">
        <x:v>URL nguồn</x:v>
      </x:c>
      <x:c r="D4" s="18" t="str">
        <x:v>ZIP SHA-256</x:v>
      </x:c>
      <x:c r="E4" s="18" t="str">
        <x:v>Tổng file</x:v>
      </x:c>
      <x:c r="F4" s="18" t="str">
        <x:v>Thêm mới</x:v>
      </x:c>
      <x:c r="G4" s="18" t="str">
        <x:v>Sửa nội dung</x:v>
      </x:c>
      <x:c r="H4" s="18" t="str">
        <x:v>Đổi tên/di chuyển</x:v>
      </x:c>
      <x:c r="I4" s="18" t="str">
        <x:v>Không còn</x:v>
      </x:c>
      <x:c r="J4" s="18" t="str">
        <x:v>Không đổi</x:v>
      </x:c>
      <x:c r="K4" s="18" t="str">
        <x:v>Schema bản đồ</x:v>
      </x:c>
      <x:c r="L4" s="18" t="str">
        <x:v>Ngày so sánh</x:v>
      </x:c>
      <x:c r="M4" s="18" t="str">
        <x:v>Kết quả gate</x:v>
      </x:c>
      <x:c r="N4" s="18" t="str">
        <x:v>Ghi chú</x:v>
      </x:c>
    </x:row>
    <x:row r="5" ht="72" customHeight="1">
      <x:c r="A5" s="89" t="str">
        <x:v>8.4.6-C · map 2.1</x:v>
      </x:c>
      <x:c r="B5" s="109" t="n">
        <x:v>46229</x:v>
      </x:c>
      <x:c r="C5" s="89" t="str">
        <x:v>https://github.com/sanic732/P2P-4PDA-edition/releases/tag/v8.4.6</x:v>
      </x:c>
      <x:c r="D5" s="89" t="str">
        <x:v>cafa5bbfa48048a9f2e6c54f6cfc329d2b25b34ea764809175dbae0e8f233fd8</x:v>
      </x:c>
      <x:c r="E5" s="201" t="n">
        <x:v>152</x:v>
      </x:c>
      <x:c r="F5" s="201"/>
      <x:c r="G5" s="201"/>
      <x:c r="H5" s="201"/>
      <x:c r="I5" s="201"/>
      <x:c r="J5" s="201"/>
      <x:c r="K5" s="89" t="str">
        <x:v>P2P-CODEX-MAP/2.1</x:v>
      </x:c>
      <x:c r="L5" s="109" t="n">
        <x:v>46241</x:v>
      </x:c>
      <x:c r="M5" s="89" t="str">
        <x:v>Baseline inventory đạt: 152/152</x:v>
      </x:c>
      <x:c r="N5" s="89" t="str">
        <x:v>Khóa 152 ID bền; 16 file thuộc 8 nhóm trùng byte; Codex Edition codex.1 đã đóng gói.</x:v>
      </x:c>
    </x:row>
    <x:row r="6" ht="72" customHeight="1">
      <x:c r="A6" s="89" t="str">
        <x:v>8.4.6-C · codex.2</x:v>
      </x:c>
      <x:c r="B6" s="109" t="n">
        <x:v>46229</x:v>
      </x:c>
      <x:c r="C6" s="89" t="str">
        <x:v>https://github.com/sanic732/P2P-4PDA-edition/releases/tag/v8.4.6</x:v>
      </x:c>
      <x:c r="D6" s="89" t="str">
        <x:v>cafa5bbfa48048a9f2e6c54f6cfc329d2b25b34ea764809175dbae0e8f233fd8</x:v>
      </x:c>
      <x:c r="E6" s="201" t="n">
        <x:v>152</x:v>
      </x:c>
      <x:c r="F6" s="201" t="n">
        <x:v>0</x:v>
      </x:c>
      <x:c r="G6" s="201" t="n">
        <x:v>0</x:v>
      </x:c>
      <x:c r="H6" s="201" t="n">
        <x:v>0</x:v>
      </x:c>
      <x:c r="I6" s="201" t="n">
        <x:v>0</x:v>
      </x:c>
      <x:c r="J6" s="201" t="n">
        <x:v>152</x:v>
      </x:c>
      <x:c r="K6" s="89" t="str">
        <x:v>P2P-CODEX-MAP/2.2</x:v>
      </x:c>
      <x:c r="L6" s="109" t="n">
        <x:v>46241</x:v>
      </x:c>
      <x:c r="M6" s="89" t="str">
        <x:v>152/152 + 5 nguồn ngoài đã định danh + 20 skill</x:v>
      </x:c>
      <x:c r="N6" s="89" t="str">
        <x:v>Thêm P2P Idea Compass, bảng nguồn bổ sung, manifest URL/hash và compatibility Q/AUTO/MANUAL/MAX. Còn gate runtime 8 thread, LIVE và PXPIPE.</x:v>
      </x:c>
    </x:row>
    <x:row r="7">
      <x:c r="A7" t="str">
        <x:v>8.4.6-C · codex.3</x:v>
      </x:c>
      <x:c r="B7" s="293" t="n">
        <x:v>46242</x:v>
      </x:c>
      <x:c r="C7" t="str">
        <x:v>https://github.com/sanic732/P2P-4PDA-edition/releases/tag/v8.4.6</x:v>
      </x:c>
      <x:c r="D7" t="str">
        <x:v>cafa5bbfa48048a9f2e6c54f6cfc329d2b25b34ea764809175dbae0e8f233fd8</x:v>
      </x:c>
      <x:c r="E7" t="n">
        <x:v>152</x:v>
      </x:c>
      <x:c r="F7" t="n">
        <x:v>0</x:v>
      </x:c>
      <x:c r="G7" t="n">
        <x:v>0</x:v>
      </x:c>
      <x:c r="H7" t="n">
        <x:v>0</x:v>
      </x:c>
      <x:c r="I7" t="n">
        <x:v>0</x:v>
      </x:c>
      <x:c r="J7" t="n">
        <x:v>152</x:v>
      </x:c>
      <x:c r="K7" t="str">
        <x:v>P2P-CODEX-MAP/2.3</x:v>
      </x:c>
      <x:c r="L7" s="293" t="n">
        <x:v>46242</x:v>
      </x:c>
      <x:c r="M7" t="str">
        <x:v>FACT/Live sync/drift PASS; eval framework ready</x:v>
      </x:c>
      <x:c r="N7" t="str">
        <x:v>Thêm 21st skill p2p-eval, 4 CAPSULE profiles, RAG data/instruction boundary, retrieval checks và release gates. Runtime 8-thread vẫn xác minh riêng trên host.</x:v>
      </x:c>
    </x:row>
    <x:row r="8" ht="64" customHeight="1">
      <x:c r="A8" t="str">
        <x:v>8.4.6-C · codex.4</x:v>
      </x:c>
      <x:c r="B8" s="293" t="n">
        <x:v>46243</x:v>
      </x:c>
      <x:c r="C8" t="str">
        <x:v>https://github.com/sanic732/P2P-4PDA-edition/releases/tag/v8.4.6</x:v>
      </x:c>
      <x:c r="D8" t="str">
        <x:v>cafa5bbfa48048a9f2e6c54f6cfc329d2b25b34ea764809175dbae0e8f233fd8</x:v>
      </x:c>
      <x:c r="E8" t="n">
        <x:v>152</x:v>
      </x:c>
      <x:c r="F8" t="n">
        <x:v>0</x:v>
      </x:c>
      <x:c r="G8" t="n">
        <x:v>0</x:v>
      </x:c>
      <x:c r="H8" t="n">
        <x:v>0</x:v>
      </x:c>
      <x:c r="I8" t="n">
        <x:v>0</x:v>
      </x:c>
      <x:c r="J8" t="n">
        <x:v>152</x:v>
      </x:c>
      <x:c r="K8" t="str">
        <x:v>P2P-CODEX-MAP/2.4</x:v>
      </x:c>
      <x:c r="L8" s="293" t="n">
        <x:v>46243</x:v>
      </x:c>
      <x:c r="M8" t="str">
        <x:v>152/152 + 22 skills + mandatory gate chain</x:v>
      </x:c>
      <x:c r="N8" t="str">
        <x:v>FACT_LEDGER v2; preview-bound Live Specs approval; eval v2; six-class RAG; protected runtime drift; rollback; final user approval + subject rehash.</x:v>
      </x:c>
    </x:row>
    <x:row r="9" ht="30" customHeight="1">
      <x:c r="A9" s="115" t="str">
        <x:v>QUY TẮC THÊM DÒNG RELEASE MỚI</x:v>
      </x:c>
      <x:c r="B9" s="72" t="str">
        <x:v>QUY TẮC THÊM DÒNG RELEASE MỚI</x:v>
      </x:c>
      <x:c r="C9" s="72" t="str">
        <x:v>QUY TẮC THÊM DÒNG RELEASE MỚI</x:v>
      </x:c>
      <x:c r="D9" s="72" t="str">
        <x:v>QUY TẮC THÊM DÒNG RELEASE MỚI</x:v>
      </x:c>
      <x:c r="E9" s="72" t="str">
        <x:v>QUY TẮC THÊM DÒNG RELEASE MỚI</x:v>
      </x:c>
      <x:c r="F9" s="72" t="str">
        <x:v>QUY TẮC THÊM DÒNG RELEASE MỚI</x:v>
      </x:c>
      <x:c r="G9" s="72" t="str">
        <x:v>QUY TẮC THÊM DÒNG RELEASE MỚI</x:v>
      </x:c>
      <x:c r="H9" s="72" t="str">
        <x:v>QUY TẮC THÊM DÒNG RELEASE MỚI</x:v>
      </x:c>
      <x:c r="I9" s="72" t="str">
        <x:v>QUY TẮC THÊM DÒNG RELEASE MỚI</x:v>
      </x:c>
      <x:c r="J9" s="72" t="str">
        <x:v>QUY TẮC THÊM DÒNG RELEASE MỚI</x:v>
      </x:c>
      <x:c r="K9" s="72" t="str">
        <x:v>QUY TẮC THÊM DÒNG RELEASE MỚI</x:v>
      </x:c>
      <x:c r="L9" s="72" t="str">
        <x:v>QUY TẮC THÊM DÒNG RELEASE MỚI</x:v>
      </x:c>
      <x:c r="M9" s="72" t="str">
        <x:v>QUY TẮC THÊM DÒNG RELEASE MỚI</x:v>
      </x:c>
      <x:c r="N9" s="72" t="str">
        <x:v>QUY TẮC THÊM DÒNG RELEASE MỚI</x:v>
      </x:c>
    </x:row>
    <x:row r="10" ht="30" customHeight="1">
      <x:c r="A10" s="115" t="str">
        <x:v>1</x:v>
      </x:c>
      <x:c r="B10" s="72" t="str">
        <x:v>Chỉ thêm dòng sau khi Inventory=DONE và hai phép cộng baseline/bản mới đều khớp.</x:v>
      </x:c>
      <x:c r="C10" s="72"/>
      <x:c r="D10" s="72"/>
      <x:c r="E10" s="72"/>
      <x:c r="F10" s="72"/>
      <x:c r="G10" s="72"/>
      <x:c r="H10" s="72"/>
      <x:c r="I10" s="72"/>
      <x:c r="J10" s="72"/>
      <x:c r="K10" s="72"/>
      <x:c r="L10" s="72"/>
      <x:c r="M10" s="72"/>
      <x:c r="N10" s="72"/>
    </x:row>
    <x:row r="11" ht="30" customHeight="1">
      <x:c r="A11" s="115" t="str">
        <x:v>2</x:v>
      </x:c>
      <x:c r="B11" s="72" t="str">
        <x:v>Không sửa số liệu của dòng release cũ; nếu phát hiện sai, ghi correction ở Ghi chú của một dòng mới.</x:v>
      </x:c>
      <x:c r="C11" s="72"/>
      <x:c r="D11" s="72"/>
      <x:c r="E11" s="72"/>
      <x:c r="F11" s="72"/>
      <x:c r="G11" s="72"/>
      <x:c r="H11" s="72"/>
      <x:c r="I11" s="72"/>
      <x:c r="J11" s="72"/>
      <x:c r="K11" s="72"/>
      <x:c r="L11" s="72"/>
      <x:c r="M11" s="72"/>
      <x:c r="N11" s="72"/>
    </x:row>
    <x:row r="12" ht="30" customHeight="1">
      <x:c r="A12" s="115" t="str">
        <x:v>3</x:v>
      </x:c>
      <x:c r="B12" s="72" t="str">
        <x:v>URL và SHA-256 phải trỏ đúng artifact đã phân tích, không chỉ trỏ trang repository chung.</x:v>
      </x:c>
      <x:c r="C12" s="72"/>
      <x:c r="D12" s="72"/>
      <x:c r="E12" s="72"/>
      <x:c r="F12" s="72"/>
      <x:c r="G12" s="72"/>
      <x:c r="H12" s="72"/>
      <x:c r="I12" s="72"/>
      <x:c r="J12" s="72"/>
      <x:c r="K12" s="72"/>
      <x:c r="L12" s="72"/>
      <x:c r="M12" s="72"/>
      <x:c r="N12" s="72"/>
    </x:row>
    <x:row r="13">
      <x:c r="A13" t="str">
        <x:v>4</x:v>
      </x:c>
      <x:c r="B13" t="str">
        <x:v>Kết quả gate phải nói rõ: chỉ cập nhật bản đồ, đã port một phần hay đã parity toàn hệ thống.</x:v>
      </x:c>
      <x:c r="C13"/>
      <x:c r="D13"/>
      <x:c r="E13"/>
      <x:c r="F13"/>
      <x:c r="G13"/>
      <x:c r="H13"/>
      <x:c r="I13"/>
      <x:c r="J13"/>
      <x:c r="K13"/>
      <x:c r="L13"/>
      <x:c r="M13"/>
      <x:c r="N13"/>
    </x:row>
  </x:sheetData>
  <x:mergeCells>
    <x:mergeCell ref="A1:N1"/>
    <x:mergeCell ref="A2:N2"/>
    <x:mergeCell ref="B9:N9"/>
    <x:mergeCell ref="B10:N10"/>
    <x:mergeCell ref="B11:N11"/>
    <x:mergeCell ref="B12:N12"/>
  </x:mergeCells>
  <x:pageMargins left="0.7" right="0.7" top="0.75" bottom="0.75" header="0.3" footer="0.3"/>
  <x:tableParts count="1">
    <x:tablePart xmlns:r="http://schemas.openxmlformats.org/officeDocument/2006/relationships" r:id="R15b77b61055044e6"/>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25" hidden="0" customWidth="1"/>
    <x:col min="2" max="2" width="6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30" customHeight="1">
      <x:c r="A1" s="466" t="str">
        <x:v>HƯỚNG DẪN AI — BÀN GIAO TỰ CHỨA SCHEMA 2.4</x:v>
      </x:c>
      <x:c r="B1" s="466" t="str">
        <x:v>HƯỚNG DẪN AI — BÀN GIAO TỰ CHỨA SCHEMA 2.4</x:v>
      </x:c>
      <x:c r="C1" s="466" t="str">
        <x:v>HƯỚNG DẪN AI — BÀN GIAO TỰ CHỨA SCHEMA 2.4</x:v>
      </x:c>
      <x:c r="D1" s="466" t="str">
        <x:v>HƯỚNG DẪN AI — BÀN GIAO TỰ CHỨA SCHEMA 2.4</x:v>
      </x:c>
      <x:c r="E1" s="466" t="str">
        <x:v>HƯỚNG DẪN AI — BÀN GIAO TỰ CHỨA SCHEMA 2.4</x:v>
      </x:c>
      <x:c r="F1" s="466" t="str">
        <x:v>HƯỚNG DẪN AI — BÀN GIAO TỰ CHỨA SCHEMA 2.4</x:v>
      </x:c>
      <x:c r="G1" s="466" t="str">
        <x:v>HƯỚNG DẪN AI — BÀN GIAO TỰ CHỨA SCHEMA 2.4</x:v>
      </x:c>
      <x:c r="H1" s="466" t="str">
        <x:v>HƯỚNG DẪN AI — BÀN GIAO TỰ CHỨA SCHEMA 2.4</x:v>
      </x:c>
    </x:row>
    <x:row r="2" ht="34" customHeight="1">
      <x:c r="A2" s="470" t="str">
        <x:v>Ở chat mới, cung cấp workbook này + ZIP/URL mới. Đọc Gate_bat_buoc trước; không dựa vào trí nhớ chat cũ và không tự phê duyệt.</x:v>
      </x:c>
      <x:c r="B2" s="470" t="str">
        <x:v>Ở chat mới, cung cấp workbook này + ZIP/URL mới. Đọc Gate_bat_buoc trước; không dựa vào trí nhớ chat cũ và không tự phê duyệt.</x:v>
      </x:c>
      <x:c r="C2" s="470" t="str">
        <x:v>Ở chat mới, cung cấp workbook này + ZIP/URL mới. Đọc Gate_bat_buoc trước; không dựa vào trí nhớ chat cũ và không tự phê duyệt.</x:v>
      </x:c>
      <x:c r="D2" s="470" t="str">
        <x:v>Ở chat mới, cung cấp workbook này + ZIP/URL mới. Đọc Gate_bat_buoc trước; không dựa vào trí nhớ chat cũ và không tự phê duyệt.</x:v>
      </x:c>
      <x:c r="E2" s="470" t="str">
        <x:v>Ở chat mới, cung cấp workbook này + ZIP/URL mới. Đọc Gate_bat_buoc trước; không dựa vào trí nhớ chat cũ và không tự phê duyệt.</x:v>
      </x:c>
      <x:c r="F2" s="470" t="str">
        <x:v>Ở chat mới, cung cấp workbook này + ZIP/URL mới. Đọc Gate_bat_buoc trước; không dựa vào trí nhớ chat cũ và không tự phê duyệt.</x:v>
      </x:c>
      <x:c r="G2" s="470" t="str">
        <x:v>Ở chat mới, cung cấp workbook này + ZIP/URL mới. Đọc Gate_bat_buoc trước; không dựa vào trí nhớ chat cũ và không tự phê duyệt.</x:v>
      </x:c>
      <x:c r="H2" s="470" t="str">
        <x:v>Ở chat mới, cung cấp workbook này + ZIP/URL mới. Đọc Gate_bat_buoc trước; không dựa vào trí nhớ chat cũ và không tự phê duyệt.</x:v>
      </x:c>
    </x:row>
    <x:row r="4" ht="24" customHeight="1">
      <x:c r="A4" s="478" t="str">
        <x:v>NHẬN DẠNG HỒ SƠ MASTER</x:v>
      </x:c>
      <x:c r="B4" s="478" t="str">
        <x:v>NHẬN DẠNG HỒ SƠ MASTER</x:v>
      </x:c>
      <x:c r="C4" s="478" t="str">
        <x:v>NHẬN DẠNG HỒ SƠ MASTER</x:v>
      </x:c>
      <x:c r="D4" s="478" t="str">
        <x:v>NHẬN DẠNG HỒ SƠ MASTER</x:v>
      </x:c>
      <x:c r="E4" s="478" t="str">
        <x:v>NHẬN DẠNG HỒ SƠ MASTER</x:v>
      </x:c>
      <x:c r="F4" s="478" t="str">
        <x:v>NHẬN DẠNG HỒ SƠ MASTER</x:v>
      </x:c>
      <x:c r="G4" s="478" t="str">
        <x:v>NHẬN DẠNG HỒ SƠ MASTER</x:v>
      </x:c>
      <x:c r="H4" s="478" t="str">
        <x:v>NHẬN DẠNG HỒ SƠ MASTER</x:v>
      </x:c>
    </x:row>
    <x:row r="5" ht="34" customHeight="1">
      <x:c r="A5" s="481" t="str">
        <x:v>Document type</x:v>
      </x:c>
      <x:c r="B5" s="481"/>
      <x:c r="C5" s="423" t="str">
        <x:v>P2P-CODEX-MAP</x:v>
      </x:c>
      <x:c r="D5" s="423"/>
      <x:c r="E5" s="423"/>
      <x:c r="F5" s="423"/>
      <x:c r="G5" s="423"/>
      <x:c r="H5" s="423"/>
    </x:row>
    <x:row r="6" ht="34" customHeight="1">
      <x:c r="A6" s="481" t="str">
        <x:v>Schema</x:v>
      </x:c>
      <x:c r="B6" s="481"/>
      <x:c r="C6" s="423" t="str">
        <x:v>2.4</x:v>
      </x:c>
      <x:c r="D6" s="423"/>
      <x:c r="E6" s="423"/>
      <x:c r="F6" s="423"/>
      <x:c r="G6" s="423"/>
      <x:c r="H6" s="423"/>
    </x:row>
    <x:row r="7" ht="34" customHeight="1">
      <x:c r="A7" s="481" t="str">
        <x:v>Codex layer</x:v>
      </x:c>
      <x:c r="B7" s="481"/>
      <x:c r="C7" s="423" t="str">
        <x:v>8.4.6-C-codex.4</x:v>
      </x:c>
      <x:c r="D7" s="423"/>
      <x:c r="E7" s="423"/>
      <x:c r="F7" s="423"/>
      <x:c r="G7" s="423"/>
      <x:c r="H7" s="423"/>
    </x:row>
    <x:row r="8" ht="34" customHeight="1">
      <x:c r="A8" s="481" t="str">
        <x:v>Baseline</x:v>
      </x:c>
      <x:c r="B8" s="481"/>
      <x:c r="C8" s="423" t="str">
        <x:v>8.4.6-C · 152 file · ZIP SHA-256 cafa5bbfa48048a9f2e6c54f6cfc329d2b25b34ea764809175dbae0e8f233fd8</x:v>
      </x:c>
      <x:c r="D8" s="423"/>
      <x:c r="E8" s="423"/>
      <x:c r="F8" s="423"/>
      <x:c r="G8" s="423"/>
      <x:c r="H8" s="423"/>
    </x:row>
    <x:row r="9" ht="34" customHeight="1">
      <x:c r="A9" s="481" t="str">
        <x:v>Nguồn sự thật</x:v>
      </x:c>
      <x:c r="B9" s="481"/>
      <x:c r="C9" s="423" t="str">
        <x:v>Ban_do_152_file + Nguon_bo_sung + Fact_ledger + Gate_bat_buoc + Lich_su_cap_nhat</x:v>
      </x:c>
      <x:c r="D9" s="423"/>
      <x:c r="E9" s="423"/>
      <x:c r="F9" s="423"/>
      <x:c r="G9" s="423"/>
      <x:c r="H9" s="423"/>
    </x:row>
    <x:row r="12" ht="24" customHeight="1">
      <x:c r="A12" s="478" t="str">
        <x:v>PROMPT 1 — KHI TÁC GIẢ CÓ RELEASE MỚI</x:v>
      </x:c>
      <x:c r="B12" s="478" t="str">
        <x:v>PROMPT 1 — KHI TÁC GIẢ CÓ RELEASE MỚI</x:v>
      </x:c>
      <x:c r="C12" s="478" t="str">
        <x:v>PROMPT 1 — KHI TÁC GIẢ CÓ RELEASE MỚI</x:v>
      </x:c>
      <x:c r="D12" s="478" t="str">
        <x:v>PROMPT 1 — KHI TÁC GIẢ CÓ RELEASE MỚI</x:v>
      </x:c>
      <x:c r="E12" s="478" t="str">
        <x:v>PROMPT 1 — KHI TÁC GIẢ CÓ RELEASE MỚI</x:v>
      </x:c>
      <x:c r="F12" s="478" t="str">
        <x:v>PROMPT 1 — KHI TÁC GIẢ CÓ RELEASE MỚI</x:v>
      </x:c>
      <x:c r="G12" s="478" t="str">
        <x:v>PROMPT 1 — KHI TÁC GIẢ CÓ RELEASE MỚI</x:v>
      </x:c>
      <x:c r="H12" s="478" t="str">
        <x:v>PROMPT 1 — KHI TÁC GIẢ CÓ RELEASE MỚI</x:v>
      </x:c>
    </x:row>
    <x:row r="13" ht="22" customHeight="1">
      <x:c r="A13" s="482" t="str">
        <x:v>CHẾ ĐỘ: UPDATE_MAP + LIVE_FACT_PHASE
Đọc toàn bộ Huong_dan_AI, Gate_bat_buoc, Nguon_bo_sung, Quy_trinh_cap_nhat, So_sanh_ban_moi, Ban_do_152_file và Lich_su_cap_nhat. Workbook là schema 2.4; baseline 8.4.6-C có 152 file và không được ghi đè.
1. Xác minh URL/version/date/SHA-256/count; kiểm kê 100%.
2. Ghép exact path → exact hash → rename/move → semantic; giữ ID cũ, cấp ID nối tiếp cho file mới.
3. Đọc đủ file thêm/sửa/xóa/rename; cập nhật map và lịch sử, không tuyên bố parity từ inventory.
4. Cập nhật FACT_LEDGER revision; chạy prepare-live trước approval; không tự approve.
5. Rerun eval/RAG bị ảnh hưởng, lock-runtime, drift, doctor và giữ rollback.
6. Tạo technical report + request gắn candidate/report hash. Dừng để người dùng tự duyệt. Chỉ sau finalize PASS mới được release/deploy.</x:v>
      </x:c>
      <x:c r="B13" s="482"/>
      <x:c r="C13" s="482"/>
      <x:c r="D13" s="482"/>
      <x:c r="E13" s="482"/>
      <x:c r="F13" s="482"/>
      <x:c r="G13" s="482"/>
      <x:c r="H13" s="482"/>
    </x:row>
    <x:row r="14" ht="22" customHeight="1">
      <x:c r="A14" s="482"/>
      <x:c r="B14" s="482"/>
      <x:c r="C14" s="482"/>
      <x:c r="D14" s="482"/>
      <x:c r="E14" s="482"/>
      <x:c r="F14" s="482"/>
      <x:c r="G14" s="482"/>
      <x:c r="H14" s="482"/>
    </x:row>
    <x:row r="15" ht="22" customHeight="1">
      <x:c r="A15" s="482"/>
      <x:c r="B15" s="482"/>
      <x:c r="C15" s="482"/>
      <x:c r="D15" s="482"/>
      <x:c r="E15" s="482"/>
      <x:c r="F15" s="482"/>
      <x:c r="G15" s="482"/>
      <x:c r="H15" s="482"/>
    </x:row>
    <x:row r="16" ht="22" customHeight="1">
      <x:c r="A16" s="482"/>
      <x:c r="B16" s="482"/>
      <x:c r="C16" s="482"/>
      <x:c r="D16" s="482"/>
      <x:c r="E16" s="482"/>
      <x:c r="F16" s="482"/>
      <x:c r="G16" s="482"/>
      <x:c r="H16" s="482"/>
    </x:row>
    <x:row r="17" ht="22" customHeight="1">
      <x:c r="A17" s="482"/>
      <x:c r="B17" s="482"/>
      <x:c r="C17" s="482"/>
      <x:c r="D17" s="482"/>
      <x:c r="E17" s="482"/>
      <x:c r="F17" s="482"/>
      <x:c r="G17" s="482"/>
      <x:c r="H17" s="482"/>
    </x:row>
    <x:row r="18" ht="22" customHeight="1">
      <x:c r="A18" s="482"/>
      <x:c r="B18" s="482"/>
      <x:c r="C18" s="482"/>
      <x:c r="D18" s="482"/>
      <x:c r="E18" s="482"/>
      <x:c r="F18" s="482"/>
      <x:c r="G18" s="482"/>
      <x:c r="H18" s="482"/>
    </x:row>
    <x:row r="19" ht="22" customHeight="1">
      <x:c r="A19" s="482"/>
      <x:c r="B19" s="482"/>
      <x:c r="C19" s="482"/>
      <x:c r="D19" s="482"/>
      <x:c r="E19" s="482"/>
      <x:c r="F19" s="482"/>
      <x:c r="G19" s="482"/>
      <x:c r="H19" s="482"/>
    </x:row>
    <x:row r="20" ht="22" customHeight="1">
      <x:c r="A20" s="482"/>
      <x:c r="B20" s="482"/>
      <x:c r="C20" s="482"/>
      <x:c r="D20" s="482"/>
      <x:c r="E20" s="482"/>
      <x:c r="F20" s="482"/>
      <x:c r="G20" s="482"/>
      <x:c r="H20" s="482"/>
    </x:row>
    <x:row r="21" ht="22" customHeight="1">
      <x:c r="A21" s="482"/>
      <x:c r="B21" s="482"/>
      <x:c r="C21" s="482"/>
      <x:c r="D21" s="482"/>
      <x:c r="E21" s="482"/>
      <x:c r="F21" s="482"/>
      <x:c r="G21" s="482"/>
      <x:c r="H21" s="482"/>
    </x:row>
    <x:row r="22" ht="22" customHeight="1">
      <x:c r="A22" s="482"/>
      <x:c r="B22" s="482"/>
      <x:c r="C22" s="482"/>
      <x:c r="D22" s="482"/>
      <x:c r="E22" s="482"/>
      <x:c r="F22" s="482"/>
      <x:c r="G22" s="482"/>
      <x:c r="H22" s="482"/>
    </x:row>
    <x:row r="23" ht="22" customHeight="1">
      <x:c r="A23" s="482"/>
      <x:c r="B23" s="482"/>
      <x:c r="C23" s="482"/>
      <x:c r="D23" s="482"/>
      <x:c r="E23" s="482"/>
      <x:c r="F23" s="482"/>
      <x:c r="G23" s="482"/>
      <x:c r="H23" s="482"/>
    </x:row>
    <x:row r="24" ht="22" customHeight="1">
      <x:c r="A24" s="482"/>
      <x:c r="B24" s="482"/>
      <x:c r="C24" s="482"/>
      <x:c r="D24" s="482"/>
      <x:c r="E24" s="482"/>
      <x:c r="F24" s="482"/>
      <x:c r="G24" s="482"/>
      <x:c r="H24" s="482"/>
    </x:row>
    <x:row r="25" ht="22" customHeight="1">
      <x:c r="A25" s="482"/>
      <x:c r="B25" s="482"/>
      <x:c r="C25" s="482"/>
      <x:c r="D25" s="482"/>
      <x:c r="E25" s="482"/>
      <x:c r="F25" s="482"/>
      <x:c r="G25" s="482"/>
      <x:c r="H25" s="482"/>
    </x:row>
    <x:row r="26" ht="18" customHeight="1">
      <x:c r="A26"/>
      <x:c r="B26"/>
      <x:c r="C26"/>
      <x:c r="D26"/>
      <x:c r="E26"/>
      <x:c r="F26"/>
      <x:c r="G26"/>
      <x:c r="H26"/>
    </x:row>
    <x:row r="27" ht="18" customHeight="1">
      <x:c r="A27"/>
      <x:c r="B27"/>
      <x:c r="C27"/>
      <x:c r="D27"/>
      <x:c r="E27"/>
      <x:c r="F27"/>
      <x:c r="G27"/>
      <x:c r="H27"/>
    </x:row>
    <x:row r="28" ht="24" customHeight="1">
      <x:c r="A28" s="478" t="str">
        <x:v>PROMPT 2 — PORT/RELEASE SAU KHI BẢN ĐỒ ĐÃ CẬP NHẬT</x:v>
      </x:c>
      <x:c r="B28" s="478" t="str">
        <x:v>PROMPT 2 — PORT/RELEASE SAU KHI BẢN ĐỒ ĐÃ CẬP NHẬT</x:v>
      </x:c>
      <x:c r="C28" s="478" t="str">
        <x:v>PROMPT 2 — PORT/RELEASE SAU KHI BẢN ĐỒ ĐÃ CẬP NHẬT</x:v>
      </x:c>
      <x:c r="D28" s="478" t="str">
        <x:v>PROMPT 2 — PORT/RELEASE SAU KHI BẢN ĐỒ ĐÃ CẬP NHẬT</x:v>
      </x:c>
      <x:c r="E28" s="478" t="str">
        <x:v>PROMPT 2 — PORT/RELEASE SAU KHI BẢN ĐỒ ĐÃ CẬP NHẬT</x:v>
      </x:c>
      <x:c r="F28" s="478" t="str">
        <x:v>PROMPT 2 — PORT/RELEASE SAU KHI BẢN ĐỒ ĐÃ CẬP NHẬT</x:v>
      </x:c>
      <x:c r="G28" s="478" t="str">
        <x:v>PROMPT 2 — PORT/RELEASE SAU KHI BẢN ĐỒ ĐÃ CẬP NHẬT</x:v>
      </x:c>
      <x:c r="H28" s="478" t="str">
        <x:v>PROMPT 2 — PORT/RELEASE SAU KHI BẢN ĐỒ ĐÃ CẬP NHẬT</x:v>
      </x:c>
    </x:row>
    <x:row r="29" ht="22" customHeight="1">
      <x:c r="A29" s="482" t="str">
        <x:v>CHẾ ĐỘ: PORT_AND_RELEASE_PHASE
Dùng workbook schema 2.4 làm nguồn sự thật. Chọn phase rõ ràng, bảo toàn source, dịch cơ chế Claude sang Codex native và không bật network/hook/proxy/dependency ngầm. Validate Skill/TOML/installer/doctor; chạy eval v2, RAG nếu bị ảnh hưởng, protected runtime drift và tạo rollback.
Không được tự phê duyệt. Chỉ tạo request sau khi mọi technical gate PASS; subject và report phải có SHA-256. Nếu người dùng duyệt đúng request, chạy final gate tính lại hash. Chỉ release_decision=APPROVED cho ứng viên chưa đổi mới cho phép hành động. Ghi bằng chứng; không dùng chain-of-thought làm evidence.</x:v>
      </x:c>
      <x:c r="B29" s="482"/>
      <x:c r="C29" s="482"/>
      <x:c r="D29" s="482"/>
      <x:c r="E29" s="482"/>
      <x:c r="F29" s="482"/>
      <x:c r="G29" s="482"/>
      <x:c r="H29" s="482"/>
    </x:row>
    <x:row r="30" ht="22" customHeight="1">
      <x:c r="A30" s="482"/>
      <x:c r="B30" s="482"/>
      <x:c r="C30" s="482"/>
      <x:c r="D30" s="482"/>
      <x:c r="E30" s="482"/>
      <x:c r="F30" s="482"/>
      <x:c r="G30" s="482"/>
      <x:c r="H30" s="482"/>
    </x:row>
    <x:row r="31" ht="22" customHeight="1">
      <x:c r="A31" s="482"/>
      <x:c r="B31" s="482"/>
      <x:c r="C31" s="482"/>
      <x:c r="D31" s="482"/>
      <x:c r="E31" s="482"/>
      <x:c r="F31" s="482"/>
      <x:c r="G31" s="482"/>
      <x:c r="H31" s="482"/>
    </x:row>
    <x:row r="32" ht="22" customHeight="1">
      <x:c r="A32" s="482"/>
      <x:c r="B32" s="482"/>
      <x:c r="C32" s="482"/>
      <x:c r="D32" s="482"/>
      <x:c r="E32" s="482"/>
      <x:c r="F32" s="482"/>
      <x:c r="G32" s="482"/>
      <x:c r="H32" s="482"/>
    </x:row>
    <x:row r="33" ht="22" customHeight="1">
      <x:c r="A33" s="482"/>
      <x:c r="B33" s="482"/>
      <x:c r="C33" s="482"/>
      <x:c r="D33" s="482"/>
      <x:c r="E33" s="482"/>
      <x:c r="F33" s="482"/>
      <x:c r="G33" s="482"/>
      <x:c r="H33" s="482"/>
    </x:row>
    <x:row r="34" ht="22" customHeight="1">
      <x:c r="A34" s="482"/>
      <x:c r="B34" s="482"/>
      <x:c r="C34" s="482"/>
      <x:c r="D34" s="482"/>
      <x:c r="E34" s="482"/>
      <x:c r="F34" s="482"/>
      <x:c r="G34" s="482"/>
      <x:c r="H34" s="482"/>
    </x:row>
    <x:row r="35" ht="22" customHeight="1">
      <x:c r="A35" s="482"/>
      <x:c r="B35" s="482"/>
      <x:c r="C35" s="482"/>
      <x:c r="D35" s="482"/>
      <x:c r="E35" s="482"/>
      <x:c r="F35" s="482"/>
      <x:c r="G35" s="482"/>
      <x:c r="H35" s="482"/>
    </x:row>
    <x:row r="36" ht="22" customHeight="1">
      <x:c r="A36" s="482"/>
      <x:c r="B36" s="482"/>
      <x:c r="C36" s="482"/>
      <x:c r="D36" s="482"/>
      <x:c r="E36" s="482"/>
      <x:c r="F36" s="482"/>
      <x:c r="G36" s="482"/>
      <x:c r="H36" s="482"/>
    </x:row>
    <x:row r="37" ht="22" customHeight="1">
      <x:c r="A37" s="482"/>
      <x:c r="B37" s="482"/>
      <x:c r="C37" s="482"/>
      <x:c r="D37" s="482"/>
      <x:c r="E37" s="482"/>
      <x:c r="F37" s="482"/>
      <x:c r="G37" s="482"/>
      <x:c r="H37" s="482"/>
    </x:row>
    <x:row r="38" ht="22" customHeight="1">
      <x:c r="A38" s="482"/>
      <x:c r="B38" s="482"/>
      <x:c r="C38" s="482"/>
      <x:c r="D38" s="482"/>
      <x:c r="E38" s="482"/>
      <x:c r="F38" s="482"/>
      <x:c r="G38" s="482"/>
      <x:c r="H38" s="482"/>
    </x:row>
    <x:row r="39" ht="22" customHeight="1">
      <x:c r="A39" s="482"/>
      <x:c r="B39" s="482"/>
      <x:c r="C39" s="482"/>
      <x:c r="D39" s="482"/>
      <x:c r="E39" s="482"/>
      <x:c r="F39" s="482"/>
      <x:c r="G39" s="482"/>
      <x:c r="H39" s="482"/>
    </x:row>
    <x:row r="40" ht="18" customHeight="1">
      <x:c r="A40"/>
      <x:c r="B40"/>
      <x:c r="C40"/>
      <x:c r="D40"/>
      <x:c r="E40"/>
      <x:c r="F40"/>
      <x:c r="G40"/>
      <x:c r="H40"/>
    </x:row>
    <x:row r="41" ht="18" customHeight="1">
      <x:c r="A41"/>
      <x:c r="B41"/>
      <x:c r="C41"/>
      <x:c r="D41"/>
      <x:c r="E41"/>
      <x:c r="F41"/>
      <x:c r="G41"/>
      <x:c r="H41"/>
    </x:row>
    <x:row r="42" ht="24" customHeight="1">
      <x:c r="A42" s="478" t="str">
        <x:v>CÂU NGẮN ĐỂ GÕ Ở CHAT MỚI</x:v>
      </x:c>
      <x:c r="B42" s="478" t="str">
        <x:v>CÂU NGẮN ĐỂ GÕ Ở CHAT MỚI</x:v>
      </x:c>
      <x:c r="C42" s="478" t="str">
        <x:v>CÂU NGẮN ĐỂ GÕ Ở CHAT MỚI</x:v>
      </x:c>
      <x:c r="D42" s="478" t="str">
        <x:v>CÂU NGẮN ĐỂ GÕ Ở CHAT MỚI</x:v>
      </x:c>
      <x:c r="E42" s="478" t="str">
        <x:v>CÂU NGẮN ĐỂ GÕ Ở CHAT MỚI</x:v>
      </x:c>
      <x:c r="F42" s="478" t="str">
        <x:v>CÂU NGẮN ĐỂ GÕ Ở CHAT MỚI</x:v>
      </x:c>
      <x:c r="G42" s="478" t="str">
        <x:v>CÂU NGẮN ĐỂ GÕ Ở CHAT MỚI</x:v>
      </x:c>
      <x:c r="H42" s="478" t="str">
        <x:v>CÂU NGẮN ĐỂ GÕ Ở CHAT MỚI</x:v>
      </x:c>
    </x:row>
    <x:row r="43">
      <x:c r="A43" s="476" t="str">
        <x:v>Đọc Huong_dan_AI và Gate_bat_buoc trong workbook master schema 2.4. Giữ baseline 152 file. Chạy UPDATE_MAP → FACT preview + approval promotion → eval/RAG bị ảnh hưởng → runtime lock + drift + doctor → rollback → technical report. Không tự duyệt; dừng nếu final gate chưa PASS.</x:v>
      </x:c>
      <x:c r="B43" s="476"/>
      <x:c r="C43" s="476"/>
      <x:c r="D43" s="476"/>
      <x:c r="E43" s="476"/>
      <x:c r="F43" s="476"/>
      <x:c r="G43" s="476"/>
      <x:c r="H43" s="476"/>
    </x:row>
    <x:row r="44">
      <x:c r="A44" s="476"/>
      <x:c r="B44" s="476"/>
      <x:c r="C44" s="476"/>
      <x:c r="D44" s="476"/>
      <x:c r="E44" s="476"/>
      <x:c r="F44" s="476"/>
      <x:c r="G44" s="476"/>
      <x:c r="H44" s="476"/>
    </x:row>
    <x:row r="45" ht="24" customHeight="1">
      <x:c r="A45" s="476"/>
      <x:c r="B45" s="476"/>
      <x:c r="C45" s="476"/>
      <x:c r="D45" s="476"/>
      <x:c r="E45" s="476"/>
      <x:c r="F45" s="476"/>
      <x:c r="G45" s="476"/>
      <x:c r="H45" s="476"/>
    </x:row>
    <x:row r="46" ht="24" customHeight="1">
      <x:c r="A46" s="476"/>
      <x:c r="B46" s="476"/>
      <x:c r="C46" s="476"/>
      <x:c r="D46" s="476"/>
      <x:c r="E46" s="476"/>
      <x:c r="F46" s="476"/>
      <x:c r="G46" s="476"/>
      <x:c r="H46" s="476"/>
    </x:row>
    <x:row r="47" ht="24" customHeight="1">
      <x:c r="A47"/>
      <x:c r="B47"/>
      <x:c r="C47"/>
      <x:c r="D47"/>
      <x:c r="E47"/>
      <x:c r="F47"/>
      <x:c r="G47"/>
      <x:c r="H47"/>
    </x:row>
    <x:row r="48" ht="24" customHeight="1">
      <x:c r="A48"/>
      <x:c r="B48"/>
      <x:c r="C48"/>
      <x:c r="D48"/>
      <x:c r="E48"/>
      <x:c r="F48"/>
      <x:c r="G48"/>
      <x:c r="H48"/>
    </x:row>
    <x:row r="49" ht="24" customHeight="1">
      <x:c r="A49" s="478" t="str">
        <x:v>ĐIỀU CHAT MỚI KHÔNG TỰ ĐỘNG BIẾT</x:v>
      </x:c>
      <x:c r="B49" s="478" t="str">
        <x:v>ĐIỀU CHAT MỚI KHÔNG TỰ ĐỘNG BIẾT</x:v>
      </x:c>
      <x:c r="C49" s="478" t="str">
        <x:v>ĐIỀU CHAT MỚI KHÔNG TỰ ĐỘNG BIẾT</x:v>
      </x:c>
      <x:c r="D49" s="478" t="str">
        <x:v>ĐIỀU CHAT MỚI KHÔNG TỰ ĐỘNG BIẾT</x:v>
      </x:c>
      <x:c r="E49" s="478" t="str">
        <x:v>ĐIỀU CHAT MỚI KHÔNG TỰ ĐỘNG BIẾT</x:v>
      </x:c>
      <x:c r="F49" s="478" t="str">
        <x:v>ĐIỀU CHAT MỚI KHÔNG TỰ ĐỘNG BIẾT</x:v>
      </x:c>
      <x:c r="G49" s="478" t="str">
        <x:v>ĐIỀU CHAT MỚI KHÔNG TỰ ĐỘNG BIẾT</x:v>
      </x:c>
      <x:c r="H49" s="478" t="str">
        <x:v>ĐIỀU CHAT MỚI KHÔNG TỰ ĐỘNG BIẾT</x:v>
      </x:c>
    </x:row>
    <x:row r="50" ht="38" customHeight="1">
      <x:c r="A50" s="484" t="str">
        <x:v>File trên ổ D</x:v>
      </x:c>
      <x:c r="B50" s="423" t="str">
        <x:v>Phải mở đúng project root hoặc đính kèm file; tồn tại trên máy không tự cấp quyền đọc.</x:v>
      </x:c>
    </x:row>
    <x:row r="51" ht="38" customHeight="1">
      <x:c r="A51" s="484" t="str">
        <x:v>File từ chat cũ</x:v>
      </x:c>
      <x:c r="B51" s="423" t="str">
        <x:v>Chat mới cần workbook/ZIP/URL được cung cấp lại hoặc nguồn dùng chung.</x:v>
      </x:c>
      <x:c r="C51"/>
      <x:c r="D51"/>
      <x:c r="E51"/>
      <x:c r="F51"/>
      <x:c r="G51"/>
      <x:c r="H51"/>
    </x:row>
    <x:row r="52" ht="38" customHeight="1">
      <x:c r="A52" s="484" t="str">
        <x:v>Phê duyệt</x:v>
      </x:c>
      <x:c r="B52" s="423" t="str">
        <x:v>AI không được dùng sự im lặng, một câu yes cũ hoặc tự chạy lệnh approve.</x:v>
      </x:c>
    </x:row>
    <x:row r="53" ht="38" customHeight="1">
      <x:c r="A53" s="484" t="str">
        <x:v>QUORUM thật</x:v>
      </x:c>
      <x:c r="B53" s="423" t="str">
        <x:v>Tám TOML là cấu hình; runtime phải có tám thread/ID riêng để gọi profile-verified.</x:v>
      </x:c>
    </x:row>
    <x:row r="54" ht="38" customHeight="1">
      <x:c r="A54" s="484" t="str">
        <x:v>Kết quả eval</x:v>
      </x:c>
      <x:c r="B54" s="423" t="str">
        <x:v>Framework có sẵn không đồng nghĩa dự án đã PASS; phải dùng việc thật của dự án.</x:v>
      </x:c>
    </x:row>
    <x:row r="55" ht="40" customHeight="1">
      <x:c r="A55"/>
      <x:c r="B55"/>
    </x:row>
  </x:sheetData>
  <x:mergeCells>
    <x:mergeCell ref="A1:H1"/>
    <x:mergeCell ref="A2:H2"/>
    <x:mergeCell ref="A4:H4"/>
    <x:mergeCell ref="A5:B5"/>
    <x:mergeCell ref="C5:H5"/>
    <x:mergeCell ref="A6:B6"/>
    <x:mergeCell ref="C6:H6"/>
    <x:mergeCell ref="A7:B7"/>
    <x:mergeCell ref="C7:H7"/>
    <x:mergeCell ref="A8:B8"/>
    <x:mergeCell ref="C8:H8"/>
    <x:mergeCell ref="A9:B9"/>
    <x:mergeCell ref="C9:H9"/>
    <x:mergeCell ref="A12:H12"/>
    <x:mergeCell ref="A13:H25"/>
    <x:mergeCell ref="A28:H28"/>
    <x:mergeCell ref="A29:H39"/>
    <x:mergeCell ref="A42:H42"/>
    <x:mergeCell ref="A43:H46"/>
    <x:mergeCell ref="A49:H49"/>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18" hidden="0" customWidth="1"/>
    <x:col min="2" max="2" width="18" hidden="0" customWidth="1"/>
    <x:col min="3" max="3" width="52" hidden="0" customWidth="1"/>
    <x:col min="4" max="4" width="18" hidden="0" customWidth="1"/>
    <x:col min="5" max="5" width="24" hidden="0" customWidth="1"/>
    <x:col min="6" max="6" width="30" hidden="0" customWidth="1"/>
    <x:col min="7" max="7" width="12" hidden="0" customWidth="1"/>
    <x:col min="8" max="8" width="14" hidden="0" customWidth="1"/>
    <x:col min="9" max="9" width="13" hidden="0" customWidth="1"/>
    <x:col min="10" max="10" width="13" hidden="0" customWidth="1"/>
    <x:col min="11" max="11" width="23" hidden="0" customWidth="1"/>
    <x:col min="12" max="12" width="12" hidden="0" customWidth="1"/>
    <x:col min="13" max="13" width="12" hidden="0" customWidth="1"/>
    <x:col min="14" max="14" width="11" hidden="0" customWidth="1"/>
    <x:col min="15" max="15" width="42" hidden="0" customWidth="1"/>
    <x:col min="16" max="16" width="12" hidden="0" customWidth="1"/>
    <x:col min="17" max="17" width="30" hidden="0" customWidth="1"/>
    <x:col min="18" max="18" width="46" hidden="0" customWidth="1"/>
    <x:col min="19" max="19" width="28" hidden="0" customWidth="1"/>
  </x:cols>
  <x:sheetData>
    <x:row r="1" ht="30" customHeight="1">
      <x:c r="A1" s="466" t="str">
        <x:v>FACT_LEDGER v2 — NGUỒN GỐC CỦA DỮ KIỆN SỐNG</x:v>
      </x:c>
      <x:c r="B1" s="466" t="str">
        <x:v>FACT_LEDGER v2 — NGUỒN GỐC CỦA DỮ KIỆN SỐNG</x:v>
      </x:c>
      <x:c r="C1" s="466" t="str">
        <x:v>FACT_LEDGER v2 — NGUỒN GỐC CỦA DỮ KIỆN SỐNG</x:v>
      </x:c>
      <x:c r="D1" s="466" t="str">
        <x:v>FACT_LEDGER v2 — NGUỒN GỐC CỦA DỮ KIỆN SỐNG</x:v>
      </x:c>
      <x:c r="E1" s="466" t="str">
        <x:v>FACT_LEDGER v2 — NGUỒN GỐC CỦA DỮ KIỆN SỐNG</x:v>
      </x:c>
      <x:c r="F1" s="466" t="str">
        <x:v>FACT_LEDGER v2 — NGUỒN GỐC CỦA DỮ KIỆN SỐNG</x:v>
      </x:c>
      <x:c r="G1" s="466" t="str">
        <x:v>FACT_LEDGER v2 — NGUỒN GỐC CỦA DỮ KIỆN SỐNG</x:v>
      </x:c>
      <x:c r="H1" s="466" t="str">
        <x:v>FACT_LEDGER v2 — NGUỒN GỐC CỦA DỮ KIỆN SỐNG</x:v>
      </x:c>
      <x:c r="I1" s="466" t="str">
        <x:v>FACT_LEDGER v2 — NGUỒN GỐC CỦA DỮ KIỆN SỐNG</x:v>
      </x:c>
      <x:c r="J1" s="466" t="str">
        <x:v>FACT_LEDGER v2 — NGUỒN GỐC CỦA DỮ KIỆN SỐNG</x:v>
      </x:c>
      <x:c r="K1" s="466" t="str">
        <x:v>FACT_LEDGER v2 — NGUỒN GỐC CỦA DỮ KIỆN SỐNG</x:v>
      </x:c>
      <x:c r="L1" s="466" t="str">
        <x:v>FACT_LEDGER v2 — NGUỒN GỐC CỦA DỮ KIỆN SỐNG</x:v>
      </x:c>
      <x:c r="M1" s="466" t="str">
        <x:v>FACT_LEDGER v2 — NGUỒN GỐC CỦA DỮ KIỆN SỐNG</x:v>
      </x:c>
      <x:c r="N1" s="466" t="str">
        <x:v>FACT_LEDGER v2 — NGUỒN GỐC CỦA DỮ KIỆN SỐNG</x:v>
      </x:c>
      <x:c r="O1" s="466" t="str">
        <x:v>FACT_LEDGER v2 — NGUỒN GỐC CỦA DỮ KIỆN SỐNG</x:v>
      </x:c>
      <x:c r="P1" s="466" t="str">
        <x:v>FACT_LEDGER v2 — NGUỒN GỐC CỦA DỮ KIỆN SỐNG</x:v>
      </x:c>
      <x:c r="Q1" s="466" t="str">
        <x:v>FACT_LEDGER v2 — NGUỒN GỐC CỦA DỮ KIỆN SỐNG</x:v>
      </x:c>
      <x:c r="R1" s="466" t="str">
        <x:v>FACT_LEDGER v2 — NGUỒN GỐC CỦA DỮ KIỆN SỐNG</x:v>
      </x:c>
      <x:c r="S1" s="466" t="str">
        <x:v>FACT_LEDGER v2 — NGUỒN GỐC CỦA DỮ KIỆN SỐNG</x:v>
      </x:c>
    </x:row>
    <x:row r="2" ht="34" customHeight="1">
      <x:c r="A2" s="470" t="str">
        <x:v>Revision 2 · Chỉ CONFIRMED_ACTIVE, đúng scope, đủ evidence và còn hạn mới vào Live Specs. Promotion cần preview kỹ thuật + phê duyệt gắn cả hai SHA-256.</x:v>
      </x:c>
      <x:c r="B2" s="470" t="str">
        <x:v>Revision 2 · Chỉ CONFIRMED_ACTIVE, đúng scope, đủ evidence và còn hạn mới vào Live Specs. Promotion cần preview kỹ thuật + phê duyệt gắn cả hai SHA-256.</x:v>
      </x:c>
      <x:c r="C2" s="470" t="str">
        <x:v>Revision 2 · Chỉ CONFIRMED_ACTIVE, đúng scope, đủ evidence và còn hạn mới vào Live Specs. Promotion cần preview kỹ thuật + phê duyệt gắn cả hai SHA-256.</x:v>
      </x:c>
      <x:c r="D2" s="470" t="str">
        <x:v>Revision 2 · Chỉ CONFIRMED_ACTIVE, đúng scope, đủ evidence và còn hạn mới vào Live Specs. Promotion cần preview kỹ thuật + phê duyệt gắn cả hai SHA-256.</x:v>
      </x:c>
      <x:c r="E2" s="470" t="str">
        <x:v>Revision 2 · Chỉ CONFIRMED_ACTIVE, đúng scope, đủ evidence và còn hạn mới vào Live Specs. Promotion cần preview kỹ thuật + phê duyệt gắn cả hai SHA-256.</x:v>
      </x:c>
      <x:c r="F2" s="470" t="str">
        <x:v>Revision 2 · Chỉ CONFIRMED_ACTIVE, đúng scope, đủ evidence và còn hạn mới vào Live Specs. Promotion cần preview kỹ thuật + phê duyệt gắn cả hai SHA-256.</x:v>
      </x:c>
      <x:c r="G2" s="470" t="str">
        <x:v>Revision 2 · Chỉ CONFIRMED_ACTIVE, đúng scope, đủ evidence và còn hạn mới vào Live Specs. Promotion cần preview kỹ thuật + phê duyệt gắn cả hai SHA-256.</x:v>
      </x:c>
      <x:c r="H2" s="470" t="str">
        <x:v>Revision 2 · Chỉ CONFIRMED_ACTIVE, đúng scope, đủ evidence và còn hạn mới vào Live Specs. Promotion cần preview kỹ thuật + phê duyệt gắn cả hai SHA-256.</x:v>
      </x:c>
      <x:c r="I2" s="470" t="str">
        <x:v>Revision 2 · Chỉ CONFIRMED_ACTIVE, đúng scope, đủ evidence và còn hạn mới vào Live Specs. Promotion cần preview kỹ thuật + phê duyệt gắn cả hai SHA-256.</x:v>
      </x:c>
      <x:c r="J2" s="470" t="str">
        <x:v>Revision 2 · Chỉ CONFIRMED_ACTIVE, đúng scope, đủ evidence và còn hạn mới vào Live Specs. Promotion cần preview kỹ thuật + phê duyệt gắn cả hai SHA-256.</x:v>
      </x:c>
      <x:c r="K2" s="470" t="str">
        <x:v>Revision 2 · Chỉ CONFIRMED_ACTIVE, đúng scope, đủ evidence và còn hạn mới vào Live Specs. Promotion cần preview kỹ thuật + phê duyệt gắn cả hai SHA-256.</x:v>
      </x:c>
      <x:c r="L2" s="470" t="str">
        <x:v>Revision 2 · Chỉ CONFIRMED_ACTIVE, đúng scope, đủ evidence và còn hạn mới vào Live Specs. Promotion cần preview kỹ thuật + phê duyệt gắn cả hai SHA-256.</x:v>
      </x:c>
      <x:c r="M2" s="470" t="str">
        <x:v>Revision 2 · Chỉ CONFIRMED_ACTIVE, đúng scope, đủ evidence và còn hạn mới vào Live Specs. Promotion cần preview kỹ thuật + phê duyệt gắn cả hai SHA-256.</x:v>
      </x:c>
      <x:c r="N2" s="470" t="str">
        <x:v>Revision 2 · Chỉ CONFIRMED_ACTIVE, đúng scope, đủ evidence và còn hạn mới vào Live Specs. Promotion cần preview kỹ thuật + phê duyệt gắn cả hai SHA-256.</x:v>
      </x:c>
      <x:c r="O2" s="470" t="str">
        <x:v>Revision 2 · Chỉ CONFIRMED_ACTIVE, đúng scope, đủ evidence và còn hạn mới vào Live Specs. Promotion cần preview kỹ thuật + phê duyệt gắn cả hai SHA-256.</x:v>
      </x:c>
      <x:c r="P2" s="470" t="str">
        <x:v>Revision 2 · Chỉ CONFIRMED_ACTIVE, đúng scope, đủ evidence và còn hạn mới vào Live Specs. Promotion cần preview kỹ thuật + phê duyệt gắn cả hai SHA-256.</x:v>
      </x:c>
      <x:c r="Q2" s="470" t="str">
        <x:v>Revision 2 · Chỉ CONFIRMED_ACTIVE, đúng scope, đủ evidence và còn hạn mới vào Live Specs. Promotion cần preview kỹ thuật + phê duyệt gắn cả hai SHA-256.</x:v>
      </x:c>
      <x:c r="R2" s="470" t="str">
        <x:v>Revision 2 · Chỉ CONFIRMED_ACTIVE, đúng scope, đủ evidence và còn hạn mới vào Live Specs. Promotion cần preview kỹ thuật + phê duyệt gắn cả hai SHA-256.</x:v>
      </x:c>
      <x:c r="S2" s="470" t="str">
        <x:v>Revision 2 · Chỉ CONFIRMED_ACTIVE, đúng scope, đủ evidence và còn hạn mới vào Live Specs. Promotion cần preview kỹ thuật + phê duyệt gắn cả hai SHA-256.</x:v>
      </x:c>
    </x:row>
    <x:row r="4" ht="38" customHeight="1">
      <x:c r="A4" s="475" t="str">
        <x:v>Claim ID</x:v>
      </x:c>
      <x:c r="B4" s="475" t="str">
        <x:v>Loại</x:v>
      </x:c>
      <x:c r="C4" s="475" t="str">
        <x:v>Nội dung claim</x:v>
      </x:c>
      <x:c r="D4" s="475" t="str">
        <x:v>Product</x:v>
      </x:c>
      <x:c r="E4" s="475" t="str">
        <x:v>Surface</x:v>
      </x:c>
      <x:c r="F4" s="475" t="str">
        <x:v>Scope bổ sung</x:v>
      </x:c>
      <x:c r="G4" s="475" t="str">
        <x:v>Bằng chứng</x:v>
      </x:c>
      <x:c r="H4" s="475" t="str">
        <x:v>Loại nguồn</x:v>
      </x:c>
      <x:c r="I4" s="475" t="str">
        <x:v>Ngày kiểm tra</x:v>
      </x:c>
      <x:c r="J4" s="475" t="str">
        <x:v>Hết hạn</x:v>
      </x:c>
      <x:c r="K4" s="475" t="str">
        <x:v>Trạng thái xác minh</x:v>
      </x:c>
      <x:c r="L4" s="475" t="str">
        <x:v>Vòng đời</x:v>
      </x:c>
      <x:c r="M4" s="475" t="str">
        <x:v>Routing</x:v>
      </x:c>
      <x:c r="N4" s="475" t="str">
        <x:v>Runtime</x:v>
      </x:c>
      <x:c r="O4" s="475" t="str">
        <x:v>Nguồn</x:v>
      </x:c>
      <x:c r="P4" s="475" t="str">
        <x:v>Rủi ro</x:v>
      </x:c>
      <x:c r="Q4" s="475" t="str">
        <x:v>Thành phần ảnh hưởng</x:v>
      </x:c>
      <x:c r="R4" s="475" t="str">
        <x:v>Cách kiểm tra lại</x:v>
      </x:c>
      <x:c r="S4" s="475" t="str">
        <x:v>Independence key</x:v>
      </x:c>
    </x:row>
    <x:row r="5" ht="66" hidden="0" customHeight="1">
      <x:c r="A5" s="423" t="str">
        <x:v>P2P-FACT-0001</x:v>
      </x:c>
      <x:c r="B5" s="423" t="str">
        <x:v>product_limit</x:v>
      </x:c>
      <x:c r="C5" s="423" t="str">
        <x:v>Codex limits the initial skill list to two percent of the context window, or eight thousand characters when the window is unknown; descriptions may be shortened and skills may be omitted when the list is large.</x:v>
      </x:c>
      <x:c r="D5" s="423" t="str">
        <x:v>Codex</x:v>
      </x:c>
      <x:c r="E5" s="423" t="str">
        <x:v>skill discovery</x:v>
      </x:c>
      <x:c r="F5" s="423"/>
      <x:c r="G5" s="423" t="str">
        <x:v>A</x:v>
      </x:c>
      <x:c r="H5" s="423" t="str">
        <x:v>official</x:v>
      </x:c>
      <x:c r="I5" s="425" t="n">
        <x:v>46242</x:v>
      </x:c>
      <x:c r="J5" s="425" t="n">
        <x:v>46332</x:v>
      </x:c>
      <x:c r="K5" s="423" t="str">
        <x:v>CONFIRMED_ACTIVE</x:v>
      </x:c>
      <x:c r="L5" s="423" t="str">
        <x:v>CURRENT</x:v>
      </x:c>
      <x:c r="M5" s="423" t="str">
        <x:v>warn</x:v>
      </x:c>
      <x:c r="N5" s="424" t="b">
        <x:v>1</x:v>
      </x:c>
      <x:c r="O5" s="423" t="str">
        <x:v>https://learn.chatgpt.com/docs/build-skills</x:v>
      </x:c>
      <x:c r="P5" s="423" t="str">
        <x:v>medium</x:v>
      </x:c>
      <x:c r="Q5" s="423" t="str">
        <x:v>skill-discovery, p2p-router</x:v>
      </x:c>
      <x:c r="R5" s="423" t="str">
        <x:v>Review the current official product documentation for the exact skill-discovery surface.</x:v>
      </x:c>
      <x:c r="S5" s="423" t="str">
        <x:v>openai-build-skills</x:v>
      </x:c>
    </x:row>
    <x:row r="6" ht="66" hidden="0" customHeight="1">
      <x:c r="A6" s="423" t="str">
        <x:v>P2P-FACT-0002</x:v>
      </x:c>
      <x:c r="B6" s="423" t="str">
        <x:v>host_capability</x:v>
      </x:c>
      <x:c r="C6" s="423" t="str">
        <x:v>Current Codex releases support subagent workflows and surface separate agent threads; each subagent performs its own model and tool work.</x:v>
      </x:c>
      <x:c r="D6" s="423" t="str">
        <x:v>Codex</x:v>
      </x:c>
      <x:c r="E6" s="423" t="str">
        <x:v>subagents</x:v>
      </x:c>
      <x:c r="F6" s="423"/>
      <x:c r="G6" s="423" t="str">
        <x:v>A</x:v>
      </x:c>
      <x:c r="H6" s="423" t="str">
        <x:v>official</x:v>
      </x:c>
      <x:c r="I6" s="425" t="n">
        <x:v>46242</x:v>
      </x:c>
      <x:c r="J6" s="425" t="n">
        <x:v>46332</x:v>
      </x:c>
      <x:c r="K6" s="423" t="str">
        <x:v>CONFIRMED_ACTIVE</x:v>
      </x:c>
      <x:c r="L6" s="423" t="str">
        <x:v>CURRENT</x:v>
      </x:c>
      <x:c r="M6" s="423" t="str">
        <x:v>monitor</x:v>
      </x:c>
      <x:c r="N6" s="424" t="b">
        <x:v>1</x:v>
      </x:c>
      <x:c r="O6" s="423" t="str">
        <x:v>https://learn.chatgpt.com/docs/agent-configuration/subagents</x:v>
      </x:c>
      <x:c r="P6" s="423" t="str">
        <x:v>high</x:v>
      </x:c>
      <x:c r="Q6" s="423" t="str">
        <x:v>p2p-quorum, custom-agents</x:v>
      </x:c>
      <x:c r="R6" s="423" t="str">
        <x:v>Review official subagent documentation and retain a separate runtime thread ledger for the active host.</x:v>
      </x:c>
      <x:c r="S6" s="423" t="str">
        <x:v>openai-subagents</x:v>
      </x:c>
    </x:row>
    <x:row r="7" ht="66" hidden="0" customHeight="1">
      <x:c r="A7" s="423" t="str">
        <x:v>P2P-FACT-0003</x:v>
      </x:c>
      <x:c r="B7" s="423" t="str">
        <x:v>retrieval_fact</x:v>
      </x:c>
      <x:c r="C7" s="423" t="str">
        <x:v>OpenAI File Search requires a vector store with files uploaded before it can retrieve from that knowledge base.</x:v>
      </x:c>
      <x:c r="D7" s="423" t="str">
        <x:v>OpenAI API</x:v>
      </x:c>
      <x:c r="E7" s="423" t="str">
        <x:v>Responses API file_search</x:v>
      </x:c>
      <x:c r="F7" s="423"/>
      <x:c r="G7" s="423" t="str">
        <x:v>A</x:v>
      </x:c>
      <x:c r="H7" s="423" t="str">
        <x:v>official</x:v>
      </x:c>
      <x:c r="I7" s="425" t="n">
        <x:v>46242</x:v>
      </x:c>
      <x:c r="J7" s="425" t="n">
        <x:v>46332</x:v>
      </x:c>
      <x:c r="K7" s="423" t="str">
        <x:v>CONFIRMED_ACTIVE</x:v>
      </x:c>
      <x:c r="L7" s="423" t="str">
        <x:v>CURRENT</x:v>
      </x:c>
      <x:c r="M7" s="423" t="str">
        <x:v>warn</x:v>
      </x:c>
      <x:c r="N7" s="424" t="b">
        <x:v>1</x:v>
      </x:c>
      <x:c r="O7" s="423" t="str">
        <x:v>https://developers.openai.com/api/docs/guides/tools-file-search</x:v>
      </x:c>
      <x:c r="P7" s="423" t="str">
        <x:v>high</x:v>
      </x:c>
      <x:c r="Q7" s="423" t="str">
        <x:v>rag-router, rag-grounding</x:v>
      </x:c>
      <x:c r="R7" s="423" t="str">
        <x:v>Review the current official File Search guide for prerequisites and the exact API surface.</x:v>
      </x:c>
      <x:c r="S7" s="423" t="str">
        <x:v>openai-file-search</x:v>
      </x:c>
    </x:row>
    <x:row r="8" ht="66" hidden="0" customHeight="1">
      <x:c r="A8" s="423" t="str">
        <x:v>P2P-FACT-0004</x:v>
      </x:c>
      <x:c r="B8" s="423" t="str">
        <x:v>retrieval_fact</x:v>
      </x:c>
      <x:c r="C8" s="423" t="str">
        <x:v>OpenAI File Search can filter results using file metadata attributes.</x:v>
      </x:c>
      <x:c r="D8" s="423" t="str">
        <x:v>OpenAI API</x:v>
      </x:c>
      <x:c r="E8" s="423" t="str">
        <x:v>Responses API file_search</x:v>
      </x:c>
      <x:c r="F8" s="423"/>
      <x:c r="G8" s="423" t="str">
        <x:v>A</x:v>
      </x:c>
      <x:c r="H8" s="423" t="str">
        <x:v>official</x:v>
      </x:c>
      <x:c r="I8" s="425" t="n">
        <x:v>46242</x:v>
      </x:c>
      <x:c r="J8" s="425" t="n">
        <x:v>46332</x:v>
      </x:c>
      <x:c r="K8" s="423" t="str">
        <x:v>CONFIRMED_ACTIVE</x:v>
      </x:c>
      <x:c r="L8" s="423" t="str">
        <x:v>CURRENT</x:v>
      </x:c>
      <x:c r="M8" s="423" t="str">
        <x:v>prefer</x:v>
      </x:c>
      <x:c r="N8" s="424" t="b">
        <x:v>1</x:v>
      </x:c>
      <x:c r="O8" s="423" t="str">
        <x:v>https://developers.openai.com/api/docs/guides/tools-file-search</x:v>
      </x:c>
      <x:c r="P8" s="423" t="str">
        <x:v>medium</x:v>
      </x:c>
      <x:c r="Q8" s="423" t="str">
        <x:v>rag-router, rag-prep</x:v>
      </x:c>
      <x:c r="R8" s="423" t="str">
        <x:v>Review the current official File Search metadata-filter documentation and test a scoped retrieval fixture.</x:v>
      </x:c>
      <x:c r="S8" s="423" t="str">
        <x:v>openai-file-search</x:v>
      </x:c>
    </x:row>
    <x:row r="9" ht="66" hidden="0" customHeight="1">
      <x:c r="A9" s="423" t="str">
        <x:v>P2P-FACT-0005</x:v>
      </x:c>
      <x:c r="B9" s="423" t="str">
        <x:v>eval_principle</x:v>
      </x:c>
      <x:c r="C9" s="423" t="str">
        <x:v>An eval should test a prompt against a representative sample with test inputs and ground-truth labels or explicit grading criteria.</x:v>
      </x:c>
      <x:c r="D9" s="423" t="str">
        <x:v>OpenAI API</x:v>
      </x:c>
      <x:c r="E9" s="423" t="str">
        <x:v>evals</x:v>
      </x:c>
      <x:c r="F9" s="423"/>
      <x:c r="G9" s="423" t="str">
        <x:v>A</x:v>
      </x:c>
      <x:c r="H9" s="423" t="str">
        <x:v>official</x:v>
      </x:c>
      <x:c r="I9" s="425" t="n">
        <x:v>46242</x:v>
      </x:c>
      <x:c r="J9" s="425" t="n">
        <x:v>46332</x:v>
      </x:c>
      <x:c r="K9" s="423" t="str">
        <x:v>CONFIRMED_ACTIVE</x:v>
      </x:c>
      <x:c r="L9" s="423" t="str">
        <x:v>CURRENT</x:v>
      </x:c>
      <x:c r="M9" s="423" t="str">
        <x:v>prefer</x:v>
      </x:c>
      <x:c r="N9" s="424" t="b">
        <x:v>1</x:v>
      </x:c>
      <x:c r="O9" s="423" t="str">
        <x:v>https://developers.openai.com/api/docs/guides/evals</x:v>
      </x:c>
      <x:c r="P9" s="423" t="str">
        <x:v>high</x:v>
      </x:c>
      <x:c r="Q9" s="423" t="str">
        <x:v>p2p-eval, release-gate</x:v>
      </x:c>
      <x:c r="R9" s="423" t="str">
        <x:v>Review the current official eval guidance and verify the local harness against frozen project fixtures.</x:v>
      </x:c>
      <x:c r="S9" s="423" t="str">
        <x:v>openai-evals</x:v>
      </x:c>
    </x:row>
    <x:row r="10" ht="66" hidden="0" customHeight="1">
      <x:c r="A10" s="423" t="str">
        <x:v>P2P-FACT-0006</x:v>
      </x:c>
      <x:c r="B10" s="423" t="str">
        <x:v>model_bug</x:v>
      </x:c>
      <x:c r="C10" s="423" t="str">
        <x:v>Legacy P2P asserted that XML causes a named Gemini degradation labeled G2.</x:v>
      </x:c>
      <x:c r="D10" s="423" t="str">
        <x:v>legacy P2P</x:v>
      </x:c>
      <x:c r="E10" s="423" t="str">
        <x:v>prompting</x:v>
      </x:c>
      <x:c r="F10" s="423" t="str">
        <x:v>provider=Google; model=Gemini 3.1 Pro / 3.5 Flash</x:v>
      </x:c>
      <x:c r="G10" s="423" t="str">
        <x:v>D</x:v>
      </x:c>
      <x:c r="H10" s="423" t="str">
        <x:v>legacy</x:v>
      </x:c>
      <x:c r="I10" s="425" t="n">
        <x:v>46229</x:v>
      </x:c>
      <x:c r="J10" s="425" t="n">
        <x:v>46230</x:v>
      </x:c>
      <x:c r="K10" s="423" t="str">
        <x:v>NOT_RECHECKED</x:v>
      </x:c>
      <x:c r="L10" s="423" t="str">
        <x:v>STALE</x:v>
      </x:c>
      <x:c r="M10" s="423" t="str">
        <x:v>ignore</x:v>
      </x:c>
      <x:c r="N10" s="424" t="b">
        <x:v>0</x:v>
      </x:c>
      <x:c r="O10" s="423" t="str">
        <x:v>source/8.4.6-C/plugin/.claude/skills/rag-grounding/reference/model_templates.md</x:v>
      </x:c>
      <x:c r="P10" s="423" t="str">
        <x:v>medium</x:v>
      </x:c>
      <x:c r="Q10" s="423" t="str">
        <x:v>rag-grounding, legacy-audit</x:v>
      </x:c>
      <x:c r="R10" s="423" t="str">
        <x:v>Require a frozen reproducible project fixture and an independent rerun before changing runtime behavior.</x:v>
      </x:c>
      <x:c r="S10" s="423" t="str">
        <x:v>legacy-p2p-model-template</x:v>
      </x:c>
    </x:row>
    <x:row r="11" ht="66" hidden="0" customHeight="1">
      <x:c r="A11" s="423" t="str">
        <x:v>P2P-FACT-0007</x:v>
      </x:c>
      <x:c r="B11" s="423" t="str">
        <x:v>model_bug</x:v>
      </x:c>
      <x:c r="C11" s="423" t="str">
        <x:v>Legacy P2P asserted that more than roughly seven MUST/MUST NOT pairs cause a named GPT degradation labeled G9.</x:v>
      </x:c>
      <x:c r="D11" s="423" t="str">
        <x:v>legacy P2P</x:v>
      </x:c>
      <x:c r="E11" s="423" t="str">
        <x:v>prompting</x:v>
      </x:c>
      <x:c r="F11" s="423" t="str">
        <x:v>provider=OpenAI; model=GPT-5.5</x:v>
      </x:c>
      <x:c r="G11" s="423" t="str">
        <x:v>D</x:v>
      </x:c>
      <x:c r="H11" s="423" t="str">
        <x:v>legacy</x:v>
      </x:c>
      <x:c r="I11" s="425" t="n">
        <x:v>46229</x:v>
      </x:c>
      <x:c r="J11" s="425" t="n">
        <x:v>46230</x:v>
      </x:c>
      <x:c r="K11" s="423" t="str">
        <x:v>NOT_RECHECKED</x:v>
      </x:c>
      <x:c r="L11" s="423" t="str">
        <x:v>STALE</x:v>
      </x:c>
      <x:c r="M11" s="423" t="str">
        <x:v>ignore</x:v>
      </x:c>
      <x:c r="N11" s="424" t="b">
        <x:v>0</x:v>
      </x:c>
      <x:c r="O11" s="423" t="str">
        <x:v>source/8.4.6-C/plugin/.claude/skills/rag-grounding/reference/model_templates.md</x:v>
      </x:c>
      <x:c r="P11" s="423" t="str">
        <x:v>medium</x:v>
      </x:c>
      <x:c r="Q11" s="423" t="str">
        <x:v>prompt-contract, legacy-audit</x:v>
      </x:c>
      <x:c r="R11" s="423" t="str">
        <x:v>Require paired project evals with the same current model and environment before activation.</x:v>
      </x:c>
      <x:c r="S11" s="423" t="str">
        <x:v>legacy-p2p-model-template</x:v>
      </x:c>
    </x:row>
    <x:row r="12" ht="66" hidden="0" customHeight="1">
      <x:c r="A12" s="423" t="str">
        <x:v>P2P-FACT-0008</x:v>
      </x:c>
      <x:c r="B12" s="423" t="str">
        <x:v>model_bug</x:v>
      </x:c>
      <x:c r="C12" s="423" t="str">
        <x:v>Legacy P2P asserted that a named Grok topic-drift issue labeled G3 is mitigated by duplicated topic anchors.</x:v>
      </x:c>
      <x:c r="D12" s="423" t="str">
        <x:v>legacy P2P</x:v>
      </x:c>
      <x:c r="E12" s="423" t="str">
        <x:v>prompting</x:v>
      </x:c>
      <x:c r="F12" s="423" t="str">
        <x:v>provider=xAI; model=Grok 4.3</x:v>
      </x:c>
      <x:c r="G12" s="423" t="str">
        <x:v>D</x:v>
      </x:c>
      <x:c r="H12" s="423" t="str">
        <x:v>legacy</x:v>
      </x:c>
      <x:c r="I12" s="425" t="n">
        <x:v>46229</x:v>
      </x:c>
      <x:c r="J12" s="425" t="n">
        <x:v>46230</x:v>
      </x:c>
      <x:c r="K12" s="423" t="str">
        <x:v>NOT_RECHECKED</x:v>
      </x:c>
      <x:c r="L12" s="423" t="str">
        <x:v>STALE</x:v>
      </x:c>
      <x:c r="M12" s="423" t="str">
        <x:v>ignore</x:v>
      </x:c>
      <x:c r="N12" s="424" t="b">
        <x:v>0</x:v>
      </x:c>
      <x:c r="O12" s="423" t="str">
        <x:v>source/8.4.6-C/plugin/.claude/skills/rag-grounding/reference/model_templates.md</x:v>
      </x:c>
      <x:c r="P12" s="423" t="str">
        <x:v>medium</x:v>
      </x:c>
      <x:c r="Q12" s="423" t="str">
        <x:v>rag-grounding, legacy-audit</x:v>
      </x:c>
      <x:c r="R12" s="423" t="str">
        <x:v>Require a current reproducible topic-drift fixture and independent evidence before activation.</x:v>
      </x:c>
      <x:c r="S12" s="423" t="str">
        <x:v>legacy-p2p-model-template</x:v>
      </x:c>
    </x:row>
    <x:row r="13" ht="66" hidden="0" customHeight="1">
      <x:c r="A13" s="423" t="str">
        <x:v>P2P-FACT-0009</x:v>
      </x:c>
      <x:c r="B13" s="423" t="str">
        <x:v>routing_heuristic</x:v>
      </x:c>
      <x:c r="C13" s="423" t="str">
        <x:v>Legacy RAG routing used fixed corpus-size thresholds to select direct attachment, hierarchical summaries, LongRAG, or GraphRAG.</x:v>
      </x:c>
      <x:c r="D13" s="423" t="str">
        <x:v>legacy P2P</x:v>
      </x:c>
      <x:c r="E13" s="423" t="str">
        <x:v>RAG routing</x:v>
      </x:c>
      <x:c r="F13" s="423"/>
      <x:c r="G13" s="423" t="str">
        <x:v>D</x:v>
      </x:c>
      <x:c r="H13" s="423" t="str">
        <x:v>legacy</x:v>
      </x:c>
      <x:c r="I13" s="425" t="n">
        <x:v>46229</x:v>
      </x:c>
      <x:c r="J13" s="425" t="n">
        <x:v>46230</x:v>
      </x:c>
      <x:c r="K13" s="423" t="str">
        <x:v>NOT_RECHECKED</x:v>
      </x:c>
      <x:c r="L13" s="423" t="str">
        <x:v>STALE</x:v>
      </x:c>
      <x:c r="M13" s="423" t="str">
        <x:v>ignore</x:v>
      </x:c>
      <x:c r="N13" s="424" t="b">
        <x:v>0</x:v>
      </x:c>
      <x:c r="O13" s="423" t="str">
        <x:v>source/8.4.6-C/plugin/.claude/skills/rag-router/SKILL.md</x:v>
      </x:c>
      <x:c r="P13" s="423" t="str">
        <x:v>medium</x:v>
      </x:c>
      <x:c r="Q13" s="423" t="str">
        <x:v>rag-router, legacy-audit</x:v>
      </x:c>
      <x:c r="R13" s="423" t="str">
        <x:v>Calibrate on the project's six-class retrieval suite instead of accepting fixed corpus thresholds.</x:v>
      </x:c>
      <x:c r="S13" s="423" t="str">
        <x:v>legacy-p2p-rag-router</x:v>
      </x:c>
    </x:row>
  </x:sheetData>
  <x:mergeCells>
    <x:mergeCell ref="A1:S1"/>
    <x:mergeCell ref="A2:S2"/>
  </x:mergeCells>
  <x:conditionalFormatting sqref="K5:K13">
    <x:cfRule type="containsText" dxfId="21" priority="1" operator="containsText" text="CONFIRMED_ACTIVE"/>
    <x:cfRule type="containsText" dxfId="22" priority="2" operator="containsText" text="NOT_RECHECKED"/>
  </x:conditionalFormatting>
  <x:conditionalFormatting sqref="L5:L13">
    <x:cfRule type="containsText" dxfId="23" priority="3" operator="containsText" text="STALE"/>
    <x:cfRule type="containsText" dxfId="24" priority="4" operator="containsText" text="EXPIRING"/>
    <x:cfRule type="containsText" dxfId="25" priority="5" operator="containsText" text="CURRENT"/>
  </x:conditionalFormatting>
  <x:pageMargins left="0.7" right="0.7" top="0.75" bottom="0.75" header="0.3" footer="0.3"/>
  <x:tableParts count="1">
    <x:tablePart xmlns:r="http://schemas.openxmlformats.org/officeDocument/2006/relationships" r:id="Rdc6e2774d697491c"/>
  </x:tableParts>
</x:worksheet>
</file>

<file path=xl/worksheets/sheet14.xml><?xml version="1.0" encoding="utf-8"?>
<x:worksheet xmlns:x="http://schemas.openxmlformats.org/spreadsheetml/2006/main">
  <x:sheetViews>
    <x:sheetView showGridLines="0" workbookViewId="0"/>
  </x:sheetViews>
  <x:sheetFormatPr defaultRowHeight="15"/>
  <x:cols>
    <x:col min="1" max="1" width="14" hidden="0" customWidth="1"/>
    <x:col min="2" max="2" width="20" hidden="0" customWidth="1"/>
    <x:col min="3" max="3" width="36" hidden="0" customWidth="1"/>
    <x:col min="4" max="4" width="22" hidden="0" customWidth="1"/>
    <x:col min="5" max="5" width="24" hidden="0" customWidth="1"/>
    <x:col min="6" max="6" width="36" hidden="0" customWidth="1"/>
    <x:col min="7" max="7" width="18" hidden="0" customWidth="1"/>
    <x:col min="8" max="8" width="15" hidden="0" customWidth="1"/>
    <x:col min="9" max="9" width="15" hidden="0" customWidth="1"/>
    <x:col min="10" max="10" width="14" hidden="0" customWidth="1"/>
    <x:col min="11" max="11" width="14" hidden="0" customWidth="1"/>
    <x:col min="12" max="12" width="12" hidden="0" customWidth="1"/>
    <x:col min="13" max="13" width="14" hidden="0" customWidth="1"/>
    <x:col min="14" max="14" width="44" hidden="0" customWidth="1"/>
  </x:cols>
  <x:sheetData>
    <x:row r="1" ht="30" customHeight="1">
      <x:c r="A1" s="466" t="str">
        <x:v>EVAL DỰ ÁN v2 — KHÔNG DÙNG KẾT QUẢ GIẢ</x:v>
      </x:c>
      <x:c r="B1" s="466" t="str">
        <x:v>EVAL DỰ ÁN v2 — KHÔNG DÙNG KẾT QUẢ GIẢ</x:v>
      </x:c>
      <x:c r="C1" s="466" t="str">
        <x:v>EVAL DỰ ÁN v2 — KHÔNG DÙNG KẾT QUẢ GIẢ</x:v>
      </x:c>
      <x:c r="D1" s="466" t="str">
        <x:v>EVAL DỰ ÁN v2 — KHÔNG DÙNG KẾT QUẢ GIẢ</x:v>
      </x:c>
      <x:c r="E1" s="466" t="str">
        <x:v>EVAL DỰ ÁN v2 — KHÔNG DÙNG KẾT QUẢ GIẢ</x:v>
      </x:c>
      <x:c r="F1" s="466" t="str">
        <x:v>EVAL DỰ ÁN v2 — KHÔNG DÙNG KẾT QUẢ GIẢ</x:v>
      </x:c>
      <x:c r="G1" s="466" t="str">
        <x:v>EVAL DỰ ÁN v2 — KHÔNG DÙNG KẾT QUẢ GIẢ</x:v>
      </x:c>
      <x:c r="H1" s="466" t="str">
        <x:v>EVAL DỰ ÁN v2 — KHÔNG DÙNG KẾT QUẢ GIẢ</x:v>
      </x:c>
      <x:c r="I1" s="466" t="str">
        <x:v>EVAL DỰ ÁN v2 — KHÔNG DÙNG KẾT QUẢ GIẢ</x:v>
      </x:c>
      <x:c r="J1" s="466" t="str">
        <x:v>EVAL DỰ ÁN v2 — KHÔNG DÙNG KẾT QUẢ GIẢ</x:v>
      </x:c>
      <x:c r="K1" s="466" t="str">
        <x:v>EVAL DỰ ÁN v2 — KHÔNG DÙNG KẾT QUẢ GIẢ</x:v>
      </x:c>
      <x:c r="L1" s="466" t="str">
        <x:v>EVAL DỰ ÁN v2 — KHÔNG DÙNG KẾT QUẢ GIẢ</x:v>
      </x:c>
      <x:c r="M1" s="466" t="str">
        <x:v>EVAL DỰ ÁN v2 — KHÔNG DÙNG KẾT QUẢ GIẢ</x:v>
      </x:c>
      <x:c r="N1" s="466" t="str">
        <x:v>EVAL DỰ ÁN v2 — KHÔNG DÙNG KẾT QUẢ GIẢ</x:v>
      </x:c>
    </x:row>
    <x:row r="2" ht="34" customHeight="1">
      <x:c r="A2" s="470" t="str">
        <x:v>Tối thiểu 5 lớp ca; mỗi ca có ≥2 baseline + ≥2 P2P, cùng fixture/model/surface/environment/quyền. Fixture và evidence đều phải khóa SHA-256.</x:v>
      </x:c>
      <x:c r="B2" s="470" t="str">
        <x:v>Tối thiểu 5 lớp ca; mỗi ca có ≥2 baseline + ≥2 P2P, cùng fixture/model/surface/environment/quyền. Fixture và evidence đều phải khóa SHA-256.</x:v>
      </x:c>
      <x:c r="C2" s="470" t="str">
        <x:v>Tối thiểu 5 lớp ca; mỗi ca có ≥2 baseline + ≥2 P2P, cùng fixture/model/surface/environment/quyền. Fixture và evidence đều phải khóa SHA-256.</x:v>
      </x:c>
      <x:c r="D2" s="470" t="str">
        <x:v>Tối thiểu 5 lớp ca; mỗi ca có ≥2 baseline + ≥2 P2P, cùng fixture/model/surface/environment/quyền. Fixture và evidence đều phải khóa SHA-256.</x:v>
      </x:c>
      <x:c r="E2" s="470" t="str">
        <x:v>Tối thiểu 5 lớp ca; mỗi ca có ≥2 baseline + ≥2 P2P, cùng fixture/model/surface/environment/quyền. Fixture và evidence đều phải khóa SHA-256.</x:v>
      </x:c>
      <x:c r="F2" s="470" t="str">
        <x:v>Tối thiểu 5 lớp ca; mỗi ca có ≥2 baseline + ≥2 P2P, cùng fixture/model/surface/environment/quyền. Fixture và evidence đều phải khóa SHA-256.</x:v>
      </x:c>
      <x:c r="G2" s="470" t="str">
        <x:v>Tối thiểu 5 lớp ca; mỗi ca có ≥2 baseline + ≥2 P2P, cùng fixture/model/surface/environment/quyền. Fixture và evidence đều phải khóa SHA-256.</x:v>
      </x:c>
      <x:c r="H2" s="470" t="str">
        <x:v>Tối thiểu 5 lớp ca; mỗi ca có ≥2 baseline + ≥2 P2P, cùng fixture/model/surface/environment/quyền. Fixture và evidence đều phải khóa SHA-256.</x:v>
      </x:c>
      <x:c r="I2" s="470" t="str">
        <x:v>Tối thiểu 5 lớp ca; mỗi ca có ≥2 baseline + ≥2 P2P, cùng fixture/model/surface/environment/quyền. Fixture và evidence đều phải khóa SHA-256.</x:v>
      </x:c>
      <x:c r="J2" s="470" t="str">
        <x:v>Tối thiểu 5 lớp ca; mỗi ca có ≥2 baseline + ≥2 P2P, cùng fixture/model/surface/environment/quyền. Fixture và evidence đều phải khóa SHA-256.</x:v>
      </x:c>
      <x:c r="K2" s="470" t="str">
        <x:v>Tối thiểu 5 lớp ca; mỗi ca có ≥2 baseline + ≥2 P2P, cùng fixture/model/surface/environment/quyền. Fixture và evidence đều phải khóa SHA-256.</x:v>
      </x:c>
      <x:c r="L2" s="470" t="str">
        <x:v>Tối thiểu 5 lớp ca; mỗi ca có ≥2 baseline + ≥2 P2P, cùng fixture/model/surface/environment/quyền. Fixture và evidence đều phải khóa SHA-256.</x:v>
      </x:c>
      <x:c r="M2" s="470" t="str">
        <x:v>Tối thiểu 5 lớp ca; mỗi ca có ≥2 baseline + ≥2 P2P, cùng fixture/model/surface/environment/quyền. Fixture và evidence đều phải khóa SHA-256.</x:v>
      </x:c>
      <x:c r="N2" s="470" t="str">
        <x:v>Tối thiểu 5 lớp ca; mỗi ca có ≥2 baseline + ≥2 P2P, cùng fixture/model/surface/environment/quyền. Fixture và evidence đều phải khóa SHA-256.</x:v>
      </x:c>
    </x:row>
    <x:row r="4" ht="38" customHeight="1">
      <x:c r="A4" s="475" t="str">
        <x:v>Case ID</x:v>
      </x:c>
      <x:c r="B4" s="475" t="str">
        <x:v>Lớp ca</x:v>
      </x:c>
      <x:c r="C4" s="475" t="str">
        <x:v>Tác vụ thật</x:v>
      </x:c>
      <x:c r="D4" s="475" t="str">
        <x:v>Fixture</x:v>
      </x:c>
      <x:c r="E4" s="475" t="str">
        <x:v>Fixture SHA-256</x:v>
      </x:c>
      <x:c r="F4" s="475" t="str">
        <x:v>Tiêu chí định trước</x:v>
      </x:c>
      <x:c r="G4" s="475" t="str">
        <x:v>Grader</x:v>
      </x:c>
      <x:c r="H4" s="475" t="str">
        <x:v>Baseline trials</x:v>
      </x:c>
      <x:c r="I4" s="475" t="str">
        <x:v>P2P trials</x:v>
      </x:c>
      <x:c r="J4" s="475" t="str">
        <x:v>Baseline mean</x:v>
      </x:c>
      <x:c r="K4" s="475" t="str">
        <x:v>P2P mean</x:v>
      </x:c>
      <x:c r="L4" s="475" t="str">
        <x:v>Delta</x:v>
      </x:c>
      <x:c r="M4" s="475" t="str">
        <x:v>Gate</x:v>
      </x:c>
      <x:c r="N4" s="475" t="str">
        <x:v>Evidence / môi trường</x:v>
      </x:c>
    </x:row>
    <x:row r="5" ht="60" hidden="0" customHeight="1">
      <x:c r="A5" s="423" t="str">
        <x:v>eval-01</x:v>
      </x:c>
      <x:c r="B5" s="423" t="str">
        <x:v>frequent</x:v>
      </x:c>
      <x:c r="C5" s="423" t="str">
        <x:v>THAY bằng việc thường gặp</x:v>
      </x:c>
      <x:c r="D5" s="423" t="str">
        <x:v>fixtures/eval-01</x:v>
      </x:c>
      <x:c r="E5" s="423" t="str">
        <x:v>THAY SHA-256</x:v>
      </x:c>
      <x:c r="F5" s="423" t="str">
        <x:v>THAY tiêu chí đo được</x:v>
      </x:c>
      <x:c r="G5" s="423" t="str">
        <x:v>human/rubric</x:v>
      </x:c>
      <x:c r="H5" s="423" t="str">
        <x:v>0/2</x:v>
      </x:c>
      <x:c r="I5" s="423" t="str">
        <x:v>0/2</x:v>
      </x:c>
      <x:c r="J5" s="423"/>
      <x:c r="K5" s="423"/>
      <x:c r="L5" s="423"/>
      <x:c r="M5" s="476" t="str">
        <x:v>NOT_RUN</x:v>
      </x:c>
      <x:c r="N5" s="423" t="str">
        <x:v>Ghi model, surface, environment, quyền, evidence hash</x:v>
      </x:c>
    </x:row>
    <x:row r="6" ht="60" hidden="0" customHeight="1">
      <x:c r="A6" s="423" t="str">
        <x:v>eval-02</x:v>
      </x:c>
      <x:c r="B6" s="423" t="str">
        <x:v>consequential</x:v>
      </x:c>
      <x:c r="C6" s="423" t="str">
        <x:v>THAY bằng việc hậu quả lớn</x:v>
      </x:c>
      <x:c r="D6" s="423" t="str">
        <x:v>fixtures/eval-02</x:v>
      </x:c>
      <x:c r="E6" s="423" t="str">
        <x:v>THAY SHA-256</x:v>
      </x:c>
      <x:c r="F6" s="423" t="str">
        <x:v>THAY tiêu chí đo được</x:v>
      </x:c>
      <x:c r="G6" s="423" t="str">
        <x:v>human/rubric</x:v>
      </x:c>
      <x:c r="H6" s="423" t="str">
        <x:v>0/2</x:v>
      </x:c>
      <x:c r="I6" s="423" t="str">
        <x:v>0/2</x:v>
      </x:c>
      <x:c r="J6" s="423"/>
      <x:c r="K6" s="423"/>
      <x:c r="L6" s="423"/>
      <x:c r="M6" s="476" t="str">
        <x:v>NOT_RUN</x:v>
      </x:c>
      <x:c r="N6" s="423" t="str">
        <x:v>Không cho lượt sau nhìn kết quả lượt trước</x:v>
      </x:c>
    </x:row>
    <x:row r="7" ht="60" hidden="0" customHeight="1">
      <x:c r="A7" s="423" t="str">
        <x:v>eval-03</x:v>
      </x:c>
      <x:c r="B7" s="423" t="str">
        <x:v>failure_prone</x:v>
      </x:c>
      <x:c r="C7" s="423" t="str">
        <x:v>THAY bằng việc hay lỗi</x:v>
      </x:c>
      <x:c r="D7" s="423" t="str">
        <x:v>fixtures/eval-03</x:v>
      </x:c>
      <x:c r="E7" s="423" t="str">
        <x:v>THAY SHA-256</x:v>
      </x:c>
      <x:c r="F7" s="423" t="str">
        <x:v>THAY lỗi phải tránh</x:v>
      </x:c>
      <x:c r="G7" s="423" t="str">
        <x:v>rubric</x:v>
      </x:c>
      <x:c r="H7" s="423" t="str">
        <x:v>0/2</x:v>
      </x:c>
      <x:c r="I7" s="423" t="str">
        <x:v>0/2</x:v>
      </x:c>
      <x:c r="J7" s="423"/>
      <x:c r="K7" s="423"/>
      <x:c r="L7" s="423"/>
      <x:c r="M7" s="476" t="str">
        <x:v>NOT_RUN</x:v>
      </x:c>
      <x:c r="N7" s="423" t="str">
        <x:v>Ghi unexpected_writes cho từng lượt</x:v>
      </x:c>
    </x:row>
    <x:row r="8" ht="60" customHeight="1">
      <x:c r="A8" s="423" t="str">
        <x:v>eval-04</x:v>
      </x:c>
      <x:c r="B8" s="423" t="str">
        <x:v>security_boundary</x:v>
      </x:c>
      <x:c r="C8" s="423" t="str">
        <x:v>THAY bằng ca ranh giới an toàn/dữ liệu</x:v>
      </x:c>
      <x:c r="D8" s="423" t="str">
        <x:v>fixtures/eval-04</x:v>
      </x:c>
      <x:c r="E8" s="423" t="str">
        <x:v>THAY SHA-256</x:v>
      </x:c>
      <x:c r="F8" s="423" t="str">
        <x:v>Không vượt quyền/ranh giới</x:v>
      </x:c>
      <x:c r="G8" s="423" t="str">
        <x:v>security rubric</x:v>
      </x:c>
      <x:c r="H8" s="423" t="str">
        <x:v>0/2</x:v>
      </x:c>
      <x:c r="I8" s="423" t="str">
        <x:v>0/2</x:v>
      </x:c>
      <x:c r="J8" s="423"/>
      <x:c r="K8" s="423"/>
      <x:c r="L8" s="423"/>
      <x:c r="M8" s="476" t="str">
        <x:v>NOT_RUN</x:v>
      </x:c>
      <x:c r="N8" s="423" t="str">
        <x:v>Redact secret; giữ bằng chứng kiểm tra được</x:v>
      </x:c>
    </x:row>
    <x:row r="9" ht="60" customHeight="1">
      <x:c r="A9" s="423" t="str">
        <x:v>eval-05</x:v>
      </x:c>
      <x:c r="B9" s="423" t="str">
        <x:v>regression</x:v>
      </x:c>
      <x:c r="C9" s="423" t="str">
        <x:v>THAY bằng lỗi từng xảy ra</x:v>
      </x:c>
      <x:c r="D9" s="423" t="str">
        <x:v>fixtures/eval-05</x:v>
      </x:c>
      <x:c r="E9" s="423" t="str">
        <x:v>THAY SHA-256</x:v>
      </x:c>
      <x:c r="F9" s="423" t="str">
        <x:v>Lỗi cũ không tái xuất hiện</x:v>
      </x:c>
      <x:c r="G9" s="423" t="str">
        <x:v>regression check</x:v>
      </x:c>
      <x:c r="H9" s="423" t="str">
        <x:v>0/2</x:v>
      </x:c>
      <x:c r="I9" s="423" t="str">
        <x:v>0/2</x:v>
      </x:c>
      <x:c r="J9" s="423"/>
      <x:c r="K9" s="423"/>
      <x:c r="L9" s="423"/>
      <x:c r="M9" s="476" t="str">
        <x:v>NOT_RUN</x:v>
      </x:c>
      <x:c r="N9" s="423" t="str">
        <x:v>Không hạ policy để đạt PASS</x:v>
      </x:c>
    </x:row>
  </x:sheetData>
  <x:mergeCells>
    <x:mergeCell ref="A1:N1"/>
    <x:mergeCell ref="A2:N2"/>
  </x:mergeCells>
  <x:dataValidations count="2">
    <x:dataValidation type="list" sqref="I5:I7">
      <x:formula1>"not_run,pass,fail,blocked"</x:formula1>
    </x:dataValidation>
    <x:dataValidation type="list" sqref="K5:K7">
      <x:formula1>"not_run,pass,fail,blocked"</x:formula1>
    </x:dataValidation>
  </x:dataValidations>
  <x:pageMargins left="0.7" right="0.7" top="0.75" bottom="0.75" header="0.3" footer="0.3"/>
  <x:tableParts count="1">
    <x:tablePart xmlns:r="http://schemas.openxmlformats.org/officeDocument/2006/relationships" r:id="R884e5f81b62d4926"/>
  </x:tableParts>
</x:worksheet>
</file>

<file path=xl/worksheets/sheet15.xml><?xml version="1.0" encoding="utf-8"?>
<x:worksheet xmlns:x="http://schemas.openxmlformats.org/spreadsheetml/2006/main">
  <x:sheetViews>
    <x:sheetView showGridLines="0" workbookViewId="0"/>
  </x:sheetViews>
  <x:sheetFormatPr defaultRowHeight="15"/>
  <x:cols>
    <x:col min="1" max="1" width="13" hidden="0" customWidth="1"/>
    <x:col min="2" max="2" width="20" hidden="0" customWidth="1"/>
    <x:col min="3" max="3" width="34" hidden="0" customWidth="1"/>
    <x:col min="4" max="4" width="22" hidden="0" customWidth="1"/>
    <x:col min="5" max="5" width="22" hidden="0" customWidth="1"/>
    <x:col min="6" max="6" width="9" hidden="0" customWidth="1"/>
    <x:col min="7" max="7" width="12" hidden="0" customWidth="1"/>
    <x:col min="8" max="8" width="14" hidden="0" customWidth="1"/>
    <x:col min="9" max="9" width="12" hidden="0" customWidth="1"/>
    <x:col min="10" max="10" width="14" hidden="0" customWidth="1"/>
    <x:col min="11" max="11" width="11" hidden="0" customWidth="1"/>
    <x:col min="12" max="12" width="16" hidden="0" customWidth="1"/>
    <x:col min="13" max="13" width="13" hidden="0" customWidth="1"/>
    <x:col min="14" max="14" width="16" hidden="0" customWidth="1"/>
    <x:col min="15" max="15" width="20" hidden="0" customWidth="1"/>
    <x:col min="16" max="16" width="42" hidden="0" customWidth="1"/>
  </x:cols>
  <x:sheetData>
    <x:row r="1" ht="30" customHeight="1">
      <x:c r="A1" s="466" t="str">
        <x:v>RAG v2 — RETRIEVAL VÀ RANH GIỚI DỮ LIỆU/CHỈ THỊ</x:v>
      </x:c>
      <x:c r="B1" s="466" t="str">
        <x:v>RAG v2 — RETRIEVAL VÀ RANH GIỚI DỮ LIỆU/CHỈ THỊ</x:v>
      </x:c>
      <x:c r="C1" s="466" t="str">
        <x:v>RAG v2 — RETRIEVAL VÀ RANH GIỚI DỮ LIỆU/CHỈ THỊ</x:v>
      </x:c>
      <x:c r="D1" s="466" t="str">
        <x:v>RAG v2 — RETRIEVAL VÀ RANH GIỚI DỮ LIỆU/CHỈ THỊ</x:v>
      </x:c>
      <x:c r="E1" s="466" t="str">
        <x:v>RAG v2 — RETRIEVAL VÀ RANH GIỚI DỮ LIỆU/CHỈ THỊ</x:v>
      </x:c>
      <x:c r="F1" s="466" t="str">
        <x:v>RAG v2 — RETRIEVAL VÀ RANH GIỚI DỮ LIỆU/CHỈ THỊ</x:v>
      </x:c>
      <x:c r="G1" s="466" t="str">
        <x:v>RAG v2 — RETRIEVAL VÀ RANH GIỚI DỮ LIỆU/CHỈ THỊ</x:v>
      </x:c>
      <x:c r="H1" s="466" t="str">
        <x:v>RAG v2 — RETRIEVAL VÀ RANH GIỚI DỮ LIỆU/CHỈ THỊ</x:v>
      </x:c>
      <x:c r="I1" s="466" t="str">
        <x:v>RAG v2 — RETRIEVAL VÀ RANH GIỚI DỮ LIỆU/CHỈ THỊ</x:v>
      </x:c>
      <x:c r="J1" s="466" t="str">
        <x:v>RAG v2 — RETRIEVAL VÀ RANH GIỚI DỮ LIỆU/CHỈ THỊ</x:v>
      </x:c>
      <x:c r="K1" s="466" t="str">
        <x:v>RAG v2 — RETRIEVAL VÀ RANH GIỚI DỮ LIỆU/CHỈ THỊ</x:v>
      </x:c>
      <x:c r="L1" s="466" t="str">
        <x:v>RAG v2 — RETRIEVAL VÀ RANH GIỚI DỮ LIỆU/CHỈ THỊ</x:v>
      </x:c>
      <x:c r="M1" s="466" t="str">
        <x:v>RAG v2 — RETRIEVAL VÀ RANH GIỚI DỮ LIỆU/CHỈ THỊ</x:v>
      </x:c>
      <x:c r="N1" s="466" t="str">
        <x:v>RAG v2 — RETRIEVAL VÀ RANH GIỚI DỮ LIỆU/CHỈ THỊ</x:v>
      </x:c>
      <x:c r="O1" s="466" t="str">
        <x:v>RAG v2 — RETRIEVAL VÀ RANH GIỚI DỮ LIỆU/CHỈ THỊ</x:v>
      </x:c>
      <x:c r="P1" s="466" t="str">
        <x:v>RAG v2 — RETRIEVAL VÀ RANH GIỚI DỮ LIỆU/CHỈ THỊ</x:v>
      </x:c>
    </x:row>
    <x:row r="2" ht="34" customHeight="1">
      <x:c r="A2" s="470" t="str">
        <x:v>Ngưỡng sàn: recall@k ≥0,80 · grounding ≥0,90 · citation verifiability ≥0,90 · injection resistance =1,00 · cross-boundary leakage =0.</x:v>
      </x:c>
      <x:c r="B2" s="470" t="str">
        <x:v>Ngưỡng sàn: recall@k ≥0,80 · grounding ≥0,90 · citation verifiability ≥0,90 · injection resistance =1,00 · cross-boundary leakage =0.</x:v>
      </x:c>
      <x:c r="C2" s="470" t="str">
        <x:v>Ngưỡng sàn: recall@k ≥0,80 · grounding ≥0,90 · citation verifiability ≥0,90 · injection resistance =1,00 · cross-boundary leakage =0.</x:v>
      </x:c>
      <x:c r="D2" s="470" t="str">
        <x:v>Ngưỡng sàn: recall@k ≥0,80 · grounding ≥0,90 · citation verifiability ≥0,90 · injection resistance =1,00 · cross-boundary leakage =0.</x:v>
      </x:c>
      <x:c r="E2" s="470" t="str">
        <x:v>Ngưỡng sàn: recall@k ≥0,80 · grounding ≥0,90 · citation verifiability ≥0,90 · injection resistance =1,00 · cross-boundary leakage =0.</x:v>
      </x:c>
      <x:c r="F2" s="470" t="str">
        <x:v>Ngưỡng sàn: recall@k ≥0,80 · grounding ≥0,90 · citation verifiability ≥0,90 · injection resistance =1,00 · cross-boundary leakage =0.</x:v>
      </x:c>
      <x:c r="G2" s="470" t="str">
        <x:v>Ngưỡng sàn: recall@k ≥0,80 · grounding ≥0,90 · citation verifiability ≥0,90 · injection resistance =1,00 · cross-boundary leakage =0.</x:v>
      </x:c>
      <x:c r="H2" s="470" t="str">
        <x:v>Ngưỡng sàn: recall@k ≥0,80 · grounding ≥0,90 · citation verifiability ≥0,90 · injection resistance =1,00 · cross-boundary leakage =0.</x:v>
      </x:c>
      <x:c r="I2" s="470" t="str">
        <x:v>Ngưỡng sàn: recall@k ≥0,80 · grounding ≥0,90 · citation verifiability ≥0,90 · injection resistance =1,00 · cross-boundary leakage =0.</x:v>
      </x:c>
      <x:c r="J2" s="470" t="str">
        <x:v>Ngưỡng sàn: recall@k ≥0,80 · grounding ≥0,90 · citation verifiability ≥0,90 · injection resistance =1,00 · cross-boundary leakage =0.</x:v>
      </x:c>
      <x:c r="K2" s="470" t="str">
        <x:v>Ngưỡng sàn: recall@k ≥0,80 · grounding ≥0,90 · citation verifiability ≥0,90 · injection resistance =1,00 · cross-boundary leakage =0.</x:v>
      </x:c>
      <x:c r="L2" s="470" t="str">
        <x:v>Ngưỡng sàn: recall@k ≥0,80 · grounding ≥0,90 · citation verifiability ≥0,90 · injection resistance =1,00 · cross-boundary leakage =0.</x:v>
      </x:c>
      <x:c r="M2" s="470" t="str">
        <x:v>Ngưỡng sàn: recall@k ≥0,80 · grounding ≥0,90 · citation verifiability ≥0,90 · injection resistance =1,00 · cross-boundary leakage =0.</x:v>
      </x:c>
      <x:c r="N2" s="470" t="str">
        <x:v>Ngưỡng sàn: recall@k ≥0,80 · grounding ≥0,90 · citation verifiability ≥0,90 · injection resistance =1,00 · cross-boundary leakage =0.</x:v>
      </x:c>
      <x:c r="O2" s="470" t="str">
        <x:v>Ngưỡng sàn: recall@k ≥0,80 · grounding ≥0,90 · citation verifiability ≥0,90 · injection resistance =1,00 · cross-boundary leakage =0.</x:v>
      </x:c>
      <x:c r="P2" s="470" t="str">
        <x:v>Ngưỡng sàn: recall@k ≥0,80 · grounding ≥0,90 · citation verifiability ≥0,90 · injection resistance =1,00 · cross-boundary leakage =0.</x:v>
      </x:c>
    </x:row>
    <x:row r="4" ht="38" customHeight="1">
      <x:c r="A4" s="475" t="str">
        <x:v>Query ID</x:v>
      </x:c>
      <x:c r="B4" s="475" t="str">
        <x:v>Lớp</x:v>
      </x:c>
      <x:c r="C4" s="475" t="str">
        <x:v>Câu hỏi</x:v>
      </x:c>
      <x:c r="D4" s="475" t="str">
        <x:v>Expected IDs</x:v>
      </x:c>
      <x:c r="E4" s="475" t="str">
        <x:v>Retrieved IDs</x:v>
      </x:c>
      <x:c r="F4" s="475" t="str">
        <x:v>Top k</x:v>
      </x:c>
      <x:c r="G4" s="475" t="str">
        <x:v>Recall hit</x:v>
      </x:c>
      <x:c r="H4" s="475" t="str">
        <x:v>Answer claims</x:v>
      </x:c>
      <x:c r="I4" s="475" t="str">
        <x:v>Grounded</x:v>
      </x:c>
      <x:c r="J4" s="475" t="str">
        <x:v>Grounding rate</x:v>
      </x:c>
      <x:c r="K4" s="475" t="str">
        <x:v>Citations</x:v>
      </x:c>
      <x:c r="L4" s="475" t="str">
        <x:v>Verified citations</x:v>
      </x:c>
      <x:c r="M4" s="475" t="str">
        <x:v>Citation rate</x:v>
      </x:c>
      <x:c r="N4" s="475" t="str">
        <x:v>Injection obeyed</x:v>
      </x:c>
      <x:c r="O4" s="475" t="str">
        <x:v>Cross-boundary sources</x:v>
      </x:c>
      <x:c r="P4" s="475" t="str">
        <x:v>Evidence</x:v>
      </x:c>
    </x:row>
    <x:row r="5" ht="54" hidden="0" customHeight="1">
      <x:c r="A5" s="423" t="str">
        <x:v>rag-01</x:v>
      </x:c>
      <x:c r="B5" s="423" t="str">
        <x:v>exact_lookup</x:v>
      </x:c>
      <x:c r="C5" s="423" t="str">
        <x:v>THAY bằng câu hỏi thật</x:v>
      </x:c>
      <x:c r="D5" s="423" t="str">
        <x:v>[source-id]</x:v>
      </x:c>
      <x:c r="E5" s="423" t="str">
        <x:v>[]</x:v>
      </x:c>
      <x:c r="F5" s="423" t="n">
        <x:v>5</x:v>
      </x:c>
      <x:c r="G5" s="423" t="n">
        <x:v>0</x:v>
      </x:c>
      <x:c r="H5" s="423"/>
      <x:c r="I5" s="423"/>
      <x:c r="J5" s="423"/>
      <x:c r="K5" s="423"/>
      <x:c r="L5" s="423"/>
      <x:c r="M5" s="423"/>
      <x:c r="N5" s="424" t="b">
        <x:v>0</x:v>
      </x:c>
      <x:c r="O5" s="423" t="n">
        <x:v>0</x:v>
      </x:c>
      <x:c r="P5" s="423" t="str">
        <x:v>THAY bằng evidence path + SHA-256; ghi index snapshot hash + filters</x:v>
      </x:c>
    </x:row>
    <x:row r="6" ht="54" hidden="0" customHeight="1">
      <x:c r="A6" s="423" t="str">
        <x:v>rag-02</x:v>
      </x:c>
      <x:c r="B6" s="423" t="str">
        <x:v>paraphrase</x:v>
      </x:c>
      <x:c r="C6" s="423" t="str">
        <x:v>THAY bằng câu hỏi thật</x:v>
      </x:c>
      <x:c r="D6" s="423" t="str">
        <x:v>[source-id]</x:v>
      </x:c>
      <x:c r="E6" s="423" t="str">
        <x:v>[]</x:v>
      </x:c>
      <x:c r="F6" s="423" t="n">
        <x:v>5</x:v>
      </x:c>
      <x:c r="G6" s="423" t="n">
        <x:v>0</x:v>
      </x:c>
      <x:c r="H6" s="423"/>
      <x:c r="I6" s="423"/>
      <x:c r="J6" s="423"/>
      <x:c r="K6" s="423"/>
      <x:c r="L6" s="423"/>
      <x:c r="M6" s="423"/>
      <x:c r="N6" s="424" t="b">
        <x:v>0</x:v>
      </x:c>
      <x:c r="O6" s="423" t="n">
        <x:v>0</x:v>
      </x:c>
      <x:c r="P6" s="423" t="str">
        <x:v>THAY bằng evidence path + SHA-256; ghi index snapshot hash + filters</x:v>
      </x:c>
    </x:row>
    <x:row r="7" ht="54" hidden="0" customHeight="1">
      <x:c r="A7" s="423" t="str">
        <x:v>rag-03</x:v>
      </x:c>
      <x:c r="B7" s="423" t="str">
        <x:v>cross_reference</x:v>
      </x:c>
      <x:c r="C7" s="423" t="str">
        <x:v>THAY bằng câu hỏi thật</x:v>
      </x:c>
      <x:c r="D7" s="423" t="str">
        <x:v>[source-id]</x:v>
      </x:c>
      <x:c r="E7" s="423" t="str">
        <x:v>[]</x:v>
      </x:c>
      <x:c r="F7" s="423" t="n">
        <x:v>5</x:v>
      </x:c>
      <x:c r="G7" s="423" t="n">
        <x:v>0</x:v>
      </x:c>
      <x:c r="H7" s="423"/>
      <x:c r="I7" s="423"/>
      <x:c r="J7" s="423"/>
      <x:c r="K7" s="423"/>
      <x:c r="L7" s="423"/>
      <x:c r="M7" s="423"/>
      <x:c r="N7" s="424" t="b">
        <x:v>0</x:v>
      </x:c>
      <x:c r="O7" s="423" t="n">
        <x:v>0</x:v>
      </x:c>
      <x:c r="P7" s="423" t="str">
        <x:v>THAY bằng evidence path + SHA-256; ghi index snapshot hash + filters</x:v>
      </x:c>
    </x:row>
    <x:row r="8" ht="54" hidden="0" customHeight="1">
      <x:c r="A8" s="423" t="str">
        <x:v>rag-04</x:v>
      </x:c>
      <x:c r="B8" s="423" t="str">
        <x:v>unknown</x:v>
      </x:c>
      <x:c r="C8" s="423" t="str">
        <x:v>THAY bằng câu hỏi thật</x:v>
      </x:c>
      <x:c r="D8" s="423" t="str">
        <x:v>[]</x:v>
      </x:c>
      <x:c r="E8" s="423" t="str">
        <x:v>[]</x:v>
      </x:c>
      <x:c r="F8" s="423" t="n">
        <x:v>5</x:v>
      </x:c>
      <x:c r="G8" s="423" t="n">
        <x:v>0</x:v>
      </x:c>
      <x:c r="H8" s="423"/>
      <x:c r="I8" s="423"/>
      <x:c r="J8" s="423"/>
      <x:c r="K8" s="423"/>
      <x:c r="L8" s="423"/>
      <x:c r="M8" s="423"/>
      <x:c r="N8" s="424" t="b">
        <x:v>0</x:v>
      </x:c>
      <x:c r="O8" s="423" t="n">
        <x:v>0</x:v>
      </x:c>
      <x:c r="P8" s="423" t="str">
        <x:v>THAY bằng evidence path + SHA-256; ghi index snapshot hash + filters</x:v>
      </x:c>
    </x:row>
    <x:row r="9" ht="54" hidden="0" customHeight="1">
      <x:c r="A9" s="423" t="str">
        <x:v>rag-05</x:v>
      </x:c>
      <x:c r="B9" s="423" t="str">
        <x:v>injection</x:v>
      </x:c>
      <x:c r="C9" s="423" t="str">
        <x:v>THAY bằng câu hỏi thật</x:v>
      </x:c>
      <x:c r="D9" s="423" t="str">
        <x:v>[source-id]</x:v>
      </x:c>
      <x:c r="E9" s="423" t="str">
        <x:v>[]</x:v>
      </x:c>
      <x:c r="F9" s="423" t="n">
        <x:v>5</x:v>
      </x:c>
      <x:c r="G9" s="423" t="n">
        <x:v>0</x:v>
      </x:c>
      <x:c r="H9" s="423"/>
      <x:c r="I9" s="423"/>
      <x:c r="J9" s="423"/>
      <x:c r="K9" s="423"/>
      <x:c r="L9" s="423"/>
      <x:c r="M9" s="423"/>
      <x:c r="N9" s="424" t="b">
        <x:v>0</x:v>
      </x:c>
      <x:c r="O9" s="423" t="n">
        <x:v>0</x:v>
      </x:c>
      <x:c r="P9" s="423" t="str">
        <x:v>THAY bằng evidence path + SHA-256; ghi index snapshot hash + filters</x:v>
      </x:c>
    </x:row>
    <x:row r="10" ht="54" hidden="0" customHeight="1">
      <x:c r="A10" s="423" t="str">
        <x:v>rag-06</x:v>
      </x:c>
      <x:c r="B10" s="423" t="str">
        <x:v>cross_boundary</x:v>
      </x:c>
      <x:c r="C10" s="423" t="str">
        <x:v>THAY bằng câu hỏi thật</x:v>
      </x:c>
      <x:c r="D10" s="423" t="str">
        <x:v>[source-id]</x:v>
      </x:c>
      <x:c r="E10" s="423" t="str">
        <x:v>[]</x:v>
      </x:c>
      <x:c r="F10" s="423" t="n">
        <x:v>5</x:v>
      </x:c>
      <x:c r="G10" s="423" t="n">
        <x:v>0</x:v>
      </x:c>
      <x:c r="H10" s="423"/>
      <x:c r="I10" s="423"/>
      <x:c r="J10" s="423"/>
      <x:c r="K10" s="423"/>
      <x:c r="L10" s="423"/>
      <x:c r="M10" s="423"/>
      <x:c r="N10" s="424" t="b">
        <x:v>0</x:v>
      </x:c>
      <x:c r="O10" s="423" t="n">
        <x:v>0</x:v>
      </x:c>
      <x:c r="P10" s="423" t="str">
        <x:v>THAY bằng evidence path + SHA-256; ghi index snapshot hash + filters</x:v>
      </x:c>
    </x:row>
  </x:sheetData>
  <x:mergeCells>
    <x:mergeCell ref="A1:P1"/>
    <x:mergeCell ref="A2:P2"/>
  </x:mergeCells>
  <x:pageMargins left="0.7" right="0.7" top="0.75" bottom="0.75" header="0.3" footer="0.3"/>
  <x:tableParts count="1">
    <x:tablePart xmlns:r="http://schemas.openxmlformats.org/officeDocument/2006/relationships" r:id="R98cdc78a47404e9f"/>
  </x:tableParts>
</x:worksheet>
</file>

<file path=xl/worksheets/sheet16.xml><?xml version="1.0" encoding="utf-8"?>
<x:worksheet xmlns:x="http://schemas.openxmlformats.org/spreadsheetml/2006/main">
  <x:sheetViews>
    <x:sheetView showGridLines="0" workbookViewId="0"/>
  </x:sheetViews>
  <x:sheetFormatPr defaultRowHeight="15"/>
  <x:cols>
    <x:col min="1" max="1" width="22" hidden="0" customWidth="1"/>
    <x:col min="2" max="2" width="28" hidden="0" customWidth="1"/>
    <x:col min="3" max="3" width="30" hidden="0" customWidth="1"/>
    <x:col min="4" max="4" width="26" hidden="0" customWidth="1"/>
    <x:col min="5" max="5" width="38" hidden="0" customWidth="1"/>
    <x:col min="6" max="6" width="10" hidden="0" customWidth="1"/>
    <x:col min="7" max="7" width="16" hidden="0" customWidth="1"/>
    <x:col min="8" max="8" width="38" hidden="0" customWidth="1"/>
  </x:cols>
  <x:sheetData>
    <x:row r="1" ht="30" customHeight="1">
      <x:c r="A1" s="466" t="str">
        <x:v>GATE BẮT BUỘC — MỖI PASS CẦN BẰNG CHỨNG RIÊNG</x:v>
      </x:c>
      <x:c r="B1" s="466" t="str">
        <x:v>GATE BẮT BUỘC — MỖI PASS CẦN BẰNG CHỨNG RIÊNG</x:v>
      </x:c>
      <x:c r="C1" s="466" t="str">
        <x:v>GATE BẮT BUỘC — MỖI PASS CẦN BẰNG CHỨNG RIÊNG</x:v>
      </x:c>
      <x:c r="D1" s="466" t="str">
        <x:v>GATE BẮT BUỘC — MỖI PASS CẦN BẰNG CHỨNG RIÊNG</x:v>
      </x:c>
      <x:c r="E1" s="466" t="str">
        <x:v>GATE BẮT BUỘC — MỖI PASS CẦN BẰNG CHỨNG RIÊNG</x:v>
      </x:c>
      <x:c r="F1" s="466" t="str">
        <x:v>GATE BẮT BUỘC — MỖI PASS CẦN BẰNG CHỨNG RIÊNG</x:v>
      </x:c>
      <x:c r="G1" s="466" t="str">
        <x:v>GATE BẮT BUỘC — MỖI PASS CẦN BẰNG CHỨNG RIÊNG</x:v>
      </x:c>
      <x:c r="H1" s="466" t="str">
        <x:v>GATE BẮT BUỘC — MỖI PASS CẦN BẰNG CHỨNG RIÊNG</x:v>
      </x:c>
    </x:row>
    <x:row r="2" ht="34" customHeight="1">
      <x:c r="A2" s="470" t="str">
        <x:v>Thứ tự: kỹ thuật trước, phê duyệt sau. Người dùng không thể duyệt bỏ qua eval/RAG/drift/security/rollback đang FAIL.</x:v>
      </x:c>
      <x:c r="B2" s="470" t="str">
        <x:v>Thứ tự: kỹ thuật trước, phê duyệt sau. Người dùng không thể duyệt bỏ qua eval/RAG/drift/security/rollback đang FAIL.</x:v>
      </x:c>
      <x:c r="C2" s="470" t="str">
        <x:v>Thứ tự: kỹ thuật trước, phê duyệt sau. Người dùng không thể duyệt bỏ qua eval/RAG/drift/security/rollback đang FAIL.</x:v>
      </x:c>
      <x:c r="D2" s="470" t="str">
        <x:v>Thứ tự: kỹ thuật trước, phê duyệt sau. Người dùng không thể duyệt bỏ qua eval/RAG/drift/security/rollback đang FAIL.</x:v>
      </x:c>
      <x:c r="E2" s="470" t="str">
        <x:v>Thứ tự: kỹ thuật trước, phê duyệt sau. Người dùng không thể duyệt bỏ qua eval/RAG/drift/security/rollback đang FAIL.</x:v>
      </x:c>
      <x:c r="F2" s="470" t="str">
        <x:v>Thứ tự: kỹ thuật trước, phê duyệt sau. Người dùng không thể duyệt bỏ qua eval/RAG/drift/security/rollback đang FAIL.</x:v>
      </x:c>
      <x:c r="G2" s="470" t="str">
        <x:v>Thứ tự: kỹ thuật trước, phê duyệt sau. Người dùng không thể duyệt bỏ qua eval/RAG/drift/security/rollback đang FAIL.</x:v>
      </x:c>
      <x:c r="H2" s="470" t="str">
        <x:v>Thứ tự: kỹ thuật trước, phê duyệt sau. Người dùng không thể duyệt bỏ qua eval/RAG/drift/security/rollback đang FAIL.</x:v>
      </x:c>
    </x:row>
    <x:row r="4" ht="38" customHeight="1">
      <x:c r="A4" s="475" t="str">
        <x:v>Gate</x:v>
      </x:c>
      <x:c r="B4" s="475" t="str">
        <x:v>Khi nào</x:v>
      </x:c>
      <x:c r="C4" s="475" t="str">
        <x:v>Bằng chứng</x:v>
      </x:c>
      <x:c r="D4" s="475" t="str">
        <x:v>Lệnh/cơ chế</x:v>
      </x:c>
      <x:c r="E4" s="475" t="str">
        <x:v>Điều kiện PASS</x:v>
      </x:c>
      <x:c r="F4" s="475" t="str">
        <x:v>Chặn?</x:v>
      </x:c>
      <x:c r="G4" s="475" t="str">
        <x:v>Trạng thái</x:v>
      </x:c>
      <x:c r="H4" s="475" t="str">
        <x:v>Điểm chống lách</x:v>
      </x:c>
    </x:row>
    <x:row r="5" ht="50" hidden="0" customHeight="1">
      <x:c r="A5" s="423" t="str">
        <x:v>Source inventory</x:v>
      </x:c>
      <x:c r="B5" s="423" t="str">
        <x:v>Release ZIP</x:v>
      </x:c>
      <x:c r="C5" s="423" t="str">
        <x:v>summary + comparison</x:v>
      </x:c>
      <x:c r="D5" s="423" t="str">
        <x:v>update_from_release.py</x:v>
      </x:c>
      <x:c r="E5" s="423" t="str">
        <x:v>Hai phương trình 100%</x:v>
      </x:c>
      <x:c r="F5" s="424" t="b">
        <x:v>1</x:v>
      </x:c>
      <x:c r="G5" s="476" t="str">
        <x:v>REQUIRED</x:v>
      </x:c>
      <x:c r="H5" s="423" t="str">
        <x:v>Không suy inventory thành parity</x:v>
      </x:c>
    </x:row>
    <x:row r="6" ht="50" hidden="0" customHeight="1">
      <x:c r="A6" s="423" t="str">
        <x:v>Semantic review</x:v>
      </x:c>
      <x:c r="B6" s="423" t="str">
        <x:v>File thêm/sửa/xóa/rename</x:v>
      </x:c>
      <x:c r="C6" s="423" t="str">
        <x:v>review log + map</x:v>
      </x:c>
      <x:c r="D6" s="423" t="str">
        <x:v>Đọc toàn văn</x:v>
      </x:c>
      <x:c r="E6" s="423" t="str">
        <x:v>Capability/risk/dependency được xử lý</x:v>
      </x:c>
      <x:c r="F6" s="424" t="b">
        <x:v>1</x:v>
      </x:c>
      <x:c r="G6" s="476" t="str">
        <x:v>REQUIRED</x:v>
      </x:c>
      <x:c r="H6" s="423" t="str">
        <x:v>Rename vẫn cần dependency review</x:v>
      </x:c>
    </x:row>
    <x:row r="7" ht="50" hidden="0" customHeight="1">
      <x:c r="A7" s="423" t="str">
        <x:v>FACT preview</x:v>
      </x:c>
      <x:c r="B7" s="423" t="str">
        <x:v>Ledger đổi</x:v>
      </x:c>
      <x:c r="C7" s="423" t="str">
        <x:v>live preview report</x:v>
      </x:c>
      <x:c r="D7" s="423" t="str">
        <x:v>prepare-live</x:v>
      </x:c>
      <x:c r="E7" s="423" t="str">
        <x:v>Schema/scope/expiry/candidate hash PASS</x:v>
      </x:c>
      <x:c r="F7" s="424" t="b">
        <x:v>1</x:v>
      </x:c>
      <x:c r="G7" s="476" t="str">
        <x:v>REQUIRED</x:v>
      </x:c>
      <x:c r="H7" s="423" t="str">
        <x:v>Preview trước approval</x:v>
      </x:c>
    </x:row>
    <x:row r="8" ht="50" hidden="0" customHeight="1">
      <x:c r="A8" s="423" t="str">
        <x:v>FACT approval</x:v>
      </x:c>
      <x:c r="B8" s="423" t="str">
        <x:v>Sau preview PASS</x:v>
      </x:c>
      <x:c r="C8" s="423" t="str">
        <x:v>approval record v2</x:v>
      </x:c>
      <x:c r="D8" s="423" t="str">
        <x:v>p2p_approval.py</x:v>
      </x:c>
      <x:c r="E8" s="423" t="str">
        <x:v>Ledger + report hash khớp</x:v>
      </x:c>
      <x:c r="F8" s="424" t="b">
        <x:v>1</x:v>
      </x:c>
      <x:c r="G8" s="476" t="str">
        <x:v>REQUIRED</x:v>
      </x:c>
      <x:c r="H8" s="423" t="str">
        <x:v>AI không tự approve</x:v>
      </x:c>
    </x:row>
    <x:row r="9" ht="50" hidden="0" customHeight="1">
      <x:c r="A9" s="423" t="str">
        <x:v>Live Specs sync</x:v>
      </x:c>
      <x:c r="B9" s="423" t="str">
        <x:v>Sau approval</x:v>
      </x:c>
      <x:c r="C9" s="423" t="str">
        <x:v>live + lock v3</x:v>
      </x:c>
      <x:c r="D9" s="423" t="str">
        <x:v>build-live</x:v>
      </x:c>
      <x:c r="E9" s="423" t="str">
        <x:v>Ledger/preview/approval/target cùng khớp</x:v>
      </x:c>
      <x:c r="F9" s="424" t="b">
        <x:v>1</x:v>
      </x:c>
      <x:c r="G9" s="476" t="str">
        <x:v>REQUIRED</x:v>
      </x:c>
      <x:c r="H9" s="423" t="str">
        <x:v>Đổi một byte làm vô hiệu</x:v>
      </x:c>
    </x:row>
    <x:row r="10" ht="50" hidden="0" customHeight="1">
      <x:c r="A10" s="423" t="str">
        <x:v>Project eval</x:v>
      </x:c>
      <x:c r="B10" s="423" t="str">
        <x:v>Prompt/model/skill/agent đổi</x:v>
      </x:c>
      <x:c r="C10" s="423" t="str">
        <x:v>suite + evidence hashes</x:v>
      </x:c>
      <x:c r="D10" s="423" t="str">
        <x:v>p2p_eval.py gate</x:v>
      </x:c>
      <x:c r="E10" s="423" t="str">
        <x:v>5 lớp; 2+2 trials; không regression</x:v>
      </x:c>
      <x:c r="F10" s="424" t="b">
        <x:v>1</x:v>
      </x:c>
      <x:c r="G10" s="476" t="str">
        <x:v>REQUIRED</x:v>
      </x:c>
      <x:c r="H10" s="423" t="str">
        <x:v>Suite không hạ policy sàn</x:v>
      </x:c>
    </x:row>
    <x:row r="11" ht="50" hidden="0" customHeight="1">
      <x:c r="A11" s="423" t="str">
        <x:v>RAG retrieval</x:v>
      </x:c>
      <x:c r="B11" s="423" t="str">
        <x:v>Corpus/index/retriever đổi</x:v>
      </x:c>
      <x:c r="C11" s="423" t="str">
        <x:v>six-class check</x:v>
      </x:c>
      <x:c r="D11" s="423" t="str">
        <x:v>p2p_eval.py rag-gate</x:v>
      </x:c>
      <x:c r="E11" s="423" t="str">
        <x:v>Đủ metric và 0 boundary leak</x:v>
      </x:c>
      <x:c r="F11" s="424" t="b">
        <x:v>1</x:v>
      </x:c>
      <x:c r="G11" s="476" t="str">
        <x:v>IF_AFFECTED</x:v>
      </x:c>
      <x:c r="H11" s="423" t="str">
        <x:v>Prompt hay không che retrieval kém</x:v>
      </x:c>
    </x:row>
    <x:row r="12" ht="50" hidden="0" customHeight="1">
      <x:c r="A12" s="423" t="str">
        <x:v>Runtime lock</x:v>
      </x:c>
      <x:c r="B12" s="423" t="str">
        <x:v>Mọi runtime update</x:v>
      </x:c>
      <x:c r="C12" s="423" t="str">
        <x:v>runtime manifest</x:v>
      </x:c>
      <x:c r="D12" s="423" t="str">
        <x:v>lock-runtime</x:v>
      </x:c>
      <x:c r="E12" s="423" t="str">
        <x:v>Protected files/config được hash</x:v>
      </x:c>
      <x:c r="F12" s="424" t="b">
        <x:v>1</x:v>
      </x:c>
      <x:c r="G12" s="476" t="str">
        <x:v>REQUIRED</x:v>
      </x:c>
      <x:c r="H12" s="423" t="str">
        <x:v>File mới/xóa/sửa đều bị thấy</x:v>
      </x:c>
    </x:row>
    <x:row r="13" ht="50" customHeight="1">
      <x:c r="A13" s="423" t="str">
        <x:v>Active drift</x:v>
      </x:c>
      <x:c r="B13" s="423" t="str">
        <x:v>Mọi update</x:v>
      </x:c>
      <x:c r="C13" s="423" t="str">
        <x:v>drift report</x:v>
      </x:c>
      <x:c r="D13" s="423" t="str">
        <x:v>p2p_governance.py drift</x:v>
      </x:c>
      <x:c r="E13" s="423" t="str">
        <x:v>Không stale/unledgered/mismatch</x:v>
      </x:c>
      <x:c r="F13" s="424" t="b">
        <x:v>1</x:v>
      </x:c>
      <x:c r="G13" s="476" t="str">
        <x:v>REQUIRED</x:v>
      </x:c>
      <x:c r="H13" s="423" t="str">
        <x:v>Approval provenance cũng được kiểm</x:v>
      </x:c>
    </x:row>
    <x:row r="14" ht="50" customHeight="1">
      <x:c r="A14" s="423" t="str">
        <x:v>Rollback + doctor</x:v>
      </x:c>
      <x:c r="B14" s="423" t="str">
        <x:v>Trước release</x:v>
      </x:c>
      <x:c r="C14" s="423" t="str">
        <x:v>artifact cũ + doctor</x:v>
      </x:c>
      <x:c r="D14" s="423" t="str">
        <x:v>backup + doctor</x:v>
      </x:c>
      <x:c r="E14" s="423" t="str">
        <x:v>Khôi phục được; doctor PASS</x:v>
      </x:c>
      <x:c r="F14" s="424" t="b">
        <x:v>1</x:v>
      </x:c>
      <x:c r="G14" s="476" t="str">
        <x:v>REQUIRED</x:v>
      </x:c>
      <x:c r="H14" s="423" t="str">
        <x:v>Approval không thay backup</x:v>
      </x:c>
    </x:row>
    <x:row r="15" ht="50" customHeight="1">
      <x:c r="A15" s="423" t="str">
        <x:v>Final approval</x:v>
      </x:c>
      <x:c r="B15" s="423" t="str">
        <x:v>Sau tất cả technical PASS</x:v>
      </x:c>
      <x:c r="C15" s="423" t="str">
        <x:v>subject/report-bound record</x:v>
      </x:c>
      <x:c r="D15" s="423" t="str">
        <x:v>p2p_gate.py prepare</x:v>
      </x:c>
      <x:c r="E15" s="423" t="str">
        <x:v>Người dùng tự xác nhận tương tác</x:v>
      </x:c>
      <x:c r="F15" s="424" t="b">
        <x:v>1</x:v>
      </x:c>
      <x:c r="G15" s="476" t="str">
        <x:v>REQUIRED</x:v>
      </x:c>
      <x:c r="H15" s="423" t="str">
        <x:v>Im lặng/yes cũ không hợp lệ</x:v>
      </x:c>
    </x:row>
    <x:row r="16" ht="50" customHeight="1">
      <x:c r="A16" s="423" t="str">
        <x:v>Final rehash</x:v>
      </x:c>
      <x:c r="B16" s="423" t="str">
        <x:v>Ngay trước hành động</x:v>
      </x:c>
      <x:c r="C16" s="423" t="str">
        <x:v>final gate report</x:v>
      </x:c>
      <x:c r="D16" s="423" t="str">
        <x:v>p2p_gate.py finalize</x:v>
      </x:c>
      <x:c r="E16" s="423" t="str">
        <x:v>Candidate chưa đổi; APPROVED</x:v>
      </x:c>
      <x:c r="F16" s="424" t="b">
        <x:v>1</x:v>
      </x:c>
      <x:c r="G16" s="476" t="str">
        <x:v>REQUIRED</x:v>
      </x:c>
      <x:c r="H16" s="423" t="str">
        <x:v>Finalize không tự deploy</x:v>
      </x:c>
    </x:row>
  </x:sheetData>
  <x:mergeCells>
    <x:mergeCell ref="A1:H1"/>
    <x:mergeCell ref="A2:H2"/>
  </x:mergeCells>
  <x:pageMargins left="0.7" right="0.7" top="0.75" bottom="0.75" header="0.3" footer="0.3"/>
  <x:tableParts count="1">
    <x:tablePart xmlns:r="http://schemas.openxmlformats.org/officeDocument/2006/relationships" r:id="Rf73bdec0f308474e"/>
  </x:tableParts>
</x:worksheet>
</file>

<file path=xl/worksheets/sheet17.xml><?xml version="1.0" encoding="utf-8"?>
<x:worksheet xmlns:x="http://schemas.openxmlformats.org/spreadsheetml/2006/main">
  <x:sheetViews>
    <x:sheetView showGridLines="0" workbookViewId="0"/>
  </x:sheetViews>
  <x:sheetFormatPr defaultRowHeight="15"/>
  <x:cols>
    <x:col min="1" max="1" width="18" hidden="0" customWidth="1"/>
    <x:col min="2" max="2" width="28" hidden="0" customWidth="1"/>
    <x:col min="3" max="3" width="34" hidden="0" customWidth="1"/>
    <x:col min="4" max="4" width="30" hidden="0" customWidth="1"/>
    <x:col min="5" max="5" width="38" hidden="0" customWidth="1"/>
    <x:col min="6" max="6" width="18" hidden="0" customWidth="1"/>
    <x:col min="7" max="7" width="18" hidden="0" customWidth="1"/>
    <x:col min="8" max="8" width="32" hidden="0" customWidth="1"/>
  </x:cols>
  <x:sheetData>
    <x:row r="1" ht="30" customHeight="1">
      <x:c r="A1" s="466" t="str">
        <x:v>BỐN LỚP BẢO VỆ BẮT BUỘC — P2P CODEX.4</x:v>
      </x:c>
      <x:c r="B1" s="466" t="str">
        <x:v>BỐN LỚP BẢO VỆ BẮT BUỘC — P2P CODEX.4</x:v>
      </x:c>
      <x:c r="C1" s="466" t="str">
        <x:v>BỐN LỚP BẢO VỆ BẮT BUỘC — P2P CODEX.4</x:v>
      </x:c>
      <x:c r="D1" s="466" t="str">
        <x:v>BỐN LỚP BẢO VỆ BẮT BUỘC — P2P CODEX.4</x:v>
      </x:c>
      <x:c r="E1" s="466" t="str">
        <x:v>BỐN LỚP BẢO VỆ BẮT BUỘC — P2P CODEX.4</x:v>
      </x:c>
      <x:c r="F1" s="466" t="str">
        <x:v>BỐN LỚP BẢO VỆ BẮT BUỘC — P2P CODEX.4</x:v>
      </x:c>
      <x:c r="G1" s="466" t="str">
        <x:v>BỐN LỚP BẢO VỆ BẮT BUỘC — P2P CODEX.4</x:v>
      </x:c>
      <x:c r="H1" s="466" t="str">
        <x:v>BỐN LỚP BẢO VỆ BẮT BUỘC — P2P CODEX.4</x:v>
      </x:c>
    </x:row>
    <x:row r="2" ht="34" customHeight="1">
      <x:c r="A2" s="470" t="str">
        <x:v>Eval + FACT/Live + drift + user approval tạo một chuỗi. Không lớp nào thay thế lớp khác; approval luôn đứng sau technical PASS.</x:v>
      </x:c>
      <x:c r="B2" s="470" t="str">
        <x:v>Eval + FACT/Live + drift + user approval tạo một chuỗi. Không lớp nào thay thế lớp khác; approval luôn đứng sau technical PASS.</x:v>
      </x:c>
      <x:c r="C2" s="470" t="str">
        <x:v>Eval + FACT/Live + drift + user approval tạo một chuỗi. Không lớp nào thay thế lớp khác; approval luôn đứng sau technical PASS.</x:v>
      </x:c>
      <x:c r="D2" s="470" t="str">
        <x:v>Eval + FACT/Live + drift + user approval tạo một chuỗi. Không lớp nào thay thế lớp khác; approval luôn đứng sau technical PASS.</x:v>
      </x:c>
      <x:c r="E2" s="470" t="str">
        <x:v>Eval + FACT/Live + drift + user approval tạo một chuỗi. Không lớp nào thay thế lớp khác; approval luôn đứng sau technical PASS.</x:v>
      </x:c>
      <x:c r="F2" s="470" t="str">
        <x:v>Eval + FACT/Live + drift + user approval tạo một chuỗi. Không lớp nào thay thế lớp khác; approval luôn đứng sau technical PASS.</x:v>
      </x:c>
      <x:c r="G2" s="470" t="str">
        <x:v>Eval + FACT/Live + drift + user approval tạo một chuỗi. Không lớp nào thay thế lớp khác; approval luôn đứng sau technical PASS.</x:v>
      </x:c>
      <x:c r="H2" s="470" t="str">
        <x:v>Eval + FACT/Live + drift + user approval tạo một chuỗi. Không lớp nào thay thế lớp khác; approval luôn đứng sau technical PASS.</x:v>
      </x:c>
    </x:row>
    <x:row r="4" ht="38" customHeight="1">
      <x:c r="A4" s="475" t="str">
        <x:v>Thứ tự</x:v>
      </x:c>
      <x:c r="B4" s="475" t="str">
        <x:v>Lớp</x:v>
      </x:c>
      <x:c r="C4" s="475" t="str">
        <x:v>Chạy khi</x:v>
      </x:c>
      <x:c r="D4" s="475" t="str">
        <x:v>Artifact</x:v>
      </x:c>
      <x:c r="E4" s="475" t="str">
        <x:v>PASS khi</x:v>
      </x:c>
      <x:c r="F4" s="475" t="str">
        <x:v>Ai làm</x:v>
      </x:c>
      <x:c r="G4" s="475" t="str">
        <x:v>Override?</x:v>
      </x:c>
      <x:c r="H4" s="475" t="str">
        <x:v>Kết quả mặc định</x:v>
      </x:c>
    </x:row>
    <x:row r="5" ht="46" customHeight="1">
      <x:c r="A5" s="423" t="n">
        <x:v>1</x:v>
      </x:c>
      <x:c r="B5" s="423" t="str">
        <x:v>FACT preview</x:v>
      </x:c>
      <x:c r="C5" s="423" t="str">
        <x:v>Dữ kiện sống đổi</x:v>
      </x:c>
      <x:c r="D5" s="423" t="str">
        <x:v>live preview report</x:v>
      </x:c>
      <x:c r="E5" s="423" t="str">
        <x:v>Ledger hợp lệ + candidate hash</x:v>
      </x:c>
      <x:c r="F5" s="423" t="str">
        <x:v>Codex/tool</x:v>
      </x:c>
      <x:c r="G5" s="423" t="str">
        <x:v>Không</x:v>
      </x:c>
      <x:c r="H5" s="423" t="str">
        <x:v>BLOCKED trước preview</x:v>
      </x:c>
    </x:row>
    <x:row r="6" ht="46" customHeight="1">
      <x:c r="A6" s="423" t="n">
        <x:v>2</x:v>
      </x:c>
      <x:c r="B6" s="423" t="str">
        <x:v>Eval dự án</x:v>
      </x:c>
      <x:c r="C6" s="423" t="str">
        <x:v>Prompt/model/skill/agent đổi</x:v>
      </x:c>
      <x:c r="D6" s="423" t="str">
        <x:v>suite + hashed evidence</x:v>
      </x:c>
      <x:c r="E6" s="423" t="str">
        <x:v>Policy sàn đạt; không regression</x:v>
      </x:c>
      <x:c r="F6" s="423" t="str">
        <x:v>Người + Codex</x:v>
      </x:c>
      <x:c r="G6" s="423" t="str">
        <x:v>Không</x:v>
      </x:c>
      <x:c r="H6" s="423" t="str">
        <x:v>BLOCKED nếu chưa chạy</x:v>
      </x:c>
    </x:row>
    <x:row r="7" ht="46" customHeight="1">
      <x:c r="A7" s="423" t="n">
        <x:v>3</x:v>
      </x:c>
      <x:c r="B7" s="423" t="str">
        <x:v>RAG gate</x:v>
      </x:c>
      <x:c r="C7" s="423" t="str">
        <x:v>Corpus/index/retriever đổi</x:v>
      </x:c>
      <x:c r="D7" s="423" t="str">
        <x:v>six-class check</x:v>
      </x:c>
      <x:c r="E7" s="423" t="str">
        <x:v>Metrics đạt + 0 leakage</x:v>
      </x:c>
      <x:c r="F7" s="423" t="str">
        <x:v>Người + Codex</x:v>
      </x:c>
      <x:c r="G7" s="423" t="str">
        <x:v>Không</x:v>
      </x:c>
      <x:c r="H7" s="423" t="str">
        <x:v>IF_AFFECTED</x:v>
      </x:c>
    </x:row>
    <x:row r="8" ht="46" customHeight="1">
      <x:c r="A8" s="423" t="n">
        <x:v>4</x:v>
      </x:c>
      <x:c r="B8" s="423" t="str">
        <x:v>Runtime drift</x:v>
      </x:c>
      <x:c r="C8" s="423" t="str">
        <x:v>Mọi update</x:v>
      </x:c>
      <x:c r="D8" s="423" t="str">
        <x:v>runtime lock + drift report</x:v>
      </x:c>
      <x:c r="E8" s="423" t="str">
        <x:v>Không add/remove/change/stale</x:v>
      </x:c>
      <x:c r="F8" s="423" t="str">
        <x:v>Tool</x:v>
      </x:c>
      <x:c r="G8" s="423" t="str">
        <x:v>Không</x:v>
      </x:c>
      <x:c r="H8" s="423" t="str">
        <x:v>BLOCKED khi lệch</x:v>
      </x:c>
    </x:row>
    <x:row r="9" ht="46" customHeight="1">
      <x:c r="A9" s="423" t="n">
        <x:v>5</x:v>
      </x:c>
      <x:c r="B9" s="423" t="str">
        <x:v>Rollback</x:v>
      </x:c>
      <x:c r="C9" s="423" t="str">
        <x:v>Trước release/destructive</x:v>
      </x:c>
      <x:c r="D9" s="423" t="str">
        <x:v>previous artifact/backup</x:v>
      </x:c>
      <x:c r="E9" s="423" t="str">
        <x:v>Tồn tại, đúng target, khôi phục được</x:v>
      </x:c>
      <x:c r="F9" s="423" t="str">
        <x:v>Người + Codex</x:v>
      </x:c>
      <x:c r="G9" s="423" t="str">
        <x:v>Không</x:v>
      </x:c>
      <x:c r="H9" s="423" t="str">
        <x:v>REQUIRED</x:v>
      </x:c>
    </x:row>
    <x:row r="10" ht="46" customHeight="1">
      <x:c r="A10" s="423" t="n">
        <x:v>6</x:v>
      </x:c>
      <x:c r="B10" s="423" t="str">
        <x:v>User approval</x:v>
      </x:c>
      <x:c r="C10" s="423" t="str">
        <x:v>Sau 1–5 PASS</x:v>
      </x:c>
      <x:c r="D10" s="423" t="str">
        <x:v>approval record v2</x:v>
      </x:c>
      <x:c r="E10" s="423" t="str">
        <x:v>Đúng action/scope/subject/report hash</x:v>
      </x:c>
      <x:c r="F10" s="423" t="str">
        <x:v>Chính người dùng</x:v>
      </x:c>
      <x:c r="G10" s="423" t="str">
        <x:v>Không</x:v>
      </x:c>
      <x:c r="H10" s="423" t="str">
        <x:v>PENDING</x:v>
      </x:c>
    </x:row>
    <x:row r="11" ht="46" customHeight="1">
      <x:c r="A11" s="423" t="n">
        <x:v>7</x:v>
      </x:c>
      <x:c r="B11" s="423" t="str">
        <x:v>Final rehash</x:v>
      </x:c>
      <x:c r="C11" s="423" t="str">
        <x:v>Ngay trước hành động</x:v>
      </x:c>
      <x:c r="D11" s="423" t="str">
        <x:v>final gate report</x:v>
      </x:c>
      <x:c r="E11" s="423" t="str">
        <x:v>Hash chưa đổi; record còn hiệu lực</x:v>
      </x:c>
      <x:c r="F11" s="423" t="str">
        <x:v>Tool</x:v>
      </x:c>
      <x:c r="G11" s="423" t="str">
        <x:v>Không</x:v>
      </x:c>
      <x:c r="H11" s="423" t="str">
        <x:v>BLOCKED nếu đổi</x:v>
      </x:c>
    </x:row>
    <x:row r="14" ht="24" customHeight="1">
      <x:c r="A14" s="478" t="str">
        <x:v>HÀNH ĐỘNG ĐƯỢC BẢO VỆ</x:v>
      </x:c>
      <x:c r="B14" s="478" t="str">
        <x:v>HÀNH ĐỘNG ĐƯỢC BẢO VỆ</x:v>
      </x:c>
      <x:c r="C14" s="478" t="str">
        <x:v>HÀNH ĐỘNG ĐƯỢC BẢO VỆ</x:v>
      </x:c>
      <x:c r="D14" s="478" t="str">
        <x:v>HÀNH ĐỘNG ĐƯỢC BẢO VỆ</x:v>
      </x:c>
      <x:c r="E14" s="478" t="str">
        <x:v>HÀNH ĐỘNG ĐƯỢC BẢO VỆ</x:v>
      </x:c>
      <x:c r="F14" s="478" t="str">
        <x:v>HÀNH ĐỘNG ĐƯỢC BẢO VỆ</x:v>
      </x:c>
      <x:c r="G14" s="478" t="str">
        <x:v>HÀNH ĐỘNG ĐƯỢC BẢO VỆ</x:v>
      </x:c>
      <x:c r="H14" s="478" t="str">
        <x:v>HÀNH ĐỘNG ĐƯỢC BẢO VỆ</x:v>
      </x:c>
    </x:row>
    <x:row r="15" ht="38" customHeight="1">
      <x:c r="A15" s="475" t="str">
        <x:v>Action ID</x:v>
      </x:c>
      <x:c r="B15" s="475" t="str">
        <x:v>Ví dụ</x:v>
      </x:c>
      <x:c r="C15" s="475" t="str">
        <x:v>Gate kỹ thuật tối thiểu</x:v>
      </x:c>
      <x:c r="D15" s="475" t="str">
        <x:v>TTL</x:v>
      </x:c>
      <x:c r="E15" s="475" t="str">
        <x:v>Agent tạo request?</x:v>
      </x:c>
      <x:c r="F15" s="475" t="str">
        <x:v>Agent approve?</x:v>
      </x:c>
      <x:c r="G15" s="475" t="str">
        <x:v>Subject đổi</x:v>
      </x:c>
      <x:c r="H15" s="475" t="str">
        <x:v>Hành vi an toàn</x:v>
      </x:c>
    </x:row>
    <x:row r="16" ht="48" customHeight="1">
      <x:c r="A16" s="423" t="str">
        <x:v>promote_live_specs</x:v>
      </x:c>
      <x:c r="B16" s="423" t="str">
        <x:v>Ledger → Live Specs</x:v>
      </x:c>
      <x:c r="C16" s="423" t="str">
        <x:v>FACT + deterministic preview</x:v>
      </x:c>
      <x:c r="D16" s="423" t="str">
        <x:v>24h</x:v>
      </x:c>
      <x:c r="E16" s="423" t="str">
        <x:v>Có</x:v>
      </x:c>
      <x:c r="F16" s="485" t="str">
        <x:v>Không</x:v>
      </x:c>
      <x:c r="G16" s="423" t="str">
        <x:v>Mất hiệu lực</x:v>
      </x:c>
      <x:c r="H16" s="423" t="str">
        <x:v>Build sau approval</x:v>
      </x:c>
    </x:row>
    <x:row r="17" ht="48" customHeight="1">
      <x:c r="A17" s="423" t="str">
        <x:v>update_or_create_skill</x:v>
      </x:c>
      <x:c r="B17" s="423" t="str">
        <x:v>Skill/memory bền</x:v>
      </x:c>
      <x:c r="C17" s="423" t="str">
        <x:v>Skill validation + affected eval</x:v>
      </x:c>
      <x:c r="D17" s="423" t="str">
        <x:v>24h</x:v>
      </x:c>
      <x:c r="E17" s="423" t="str">
        <x:v>Có</x:v>
      </x:c>
      <x:c r="F17" s="485" t="str">
        <x:v>Không</x:v>
      </x:c>
      <x:c r="G17" s="423" t="str">
        <x:v>Mất hiệu lực</x:v>
      </x:c>
      <x:c r="H17" s="423" t="str">
        <x:v>Giữ bản cũ</x:v>
      </x:c>
    </x:row>
    <x:row r="18" ht="48" customHeight="1">
      <x:c r="A18" s="423" t="str">
        <x:v>release_or_deploy</x:v>
      </x:c>
      <x:c r="B18" s="423" t="str">
        <x:v>Merge/release/deploy</x:v>
      </x:c>
      <x:c r="C18" s="423" t="str">
        <x:v>Drift + eval + RAG nếu đổi + rollback</x:v>
      </x:c>
      <x:c r="D18" s="423" t="str">
        <x:v>24h</x:v>
      </x:c>
      <x:c r="E18" s="423" t="str">
        <x:v>Có</x:v>
      </x:c>
      <x:c r="F18" s="485" t="str">
        <x:v>Không</x:v>
      </x:c>
      <x:c r="G18" s="423" t="str">
        <x:v>Mất hiệu lực</x:v>
      </x:c>
      <x:c r="H18" s="423" t="str">
        <x:v>Finalize trước hành động</x:v>
      </x:c>
    </x:row>
    <x:row r="19" ht="48" customHeight="1">
      <x:c r="A19" s="423" t="str">
        <x:v>enable_external_io</x:v>
      </x:c>
      <x:c r="B19" s="423" t="str">
        <x:v>Network/hook/proxy/connector</x:v>
      </x:c>
      <x:c r="C19" s="423" t="str">
        <x:v>Security + data boundary</x:v>
      </x:c>
      <x:c r="D19" s="423" t="str">
        <x:v>8h</x:v>
      </x:c>
      <x:c r="E19" s="423" t="str">
        <x:v>Có</x:v>
      </x:c>
      <x:c r="F19" s="485" t="str">
        <x:v>Không</x:v>
      </x:c>
      <x:c r="G19" s="423" t="str">
        <x:v>Mất hiệu lực</x:v>
      </x:c>
      <x:c r="H19" s="423" t="str">
        <x:v>Giữ disabled</x:v>
      </x:c>
    </x:row>
    <x:row r="20" ht="48" customHeight="1">
      <x:c r="A20" s="423" t="str">
        <x:v>persistent_memory_write</x:v>
      </x:c>
      <x:c r="B20" s="423" t="str">
        <x:v>Memory/preference/rule</x:v>
      </x:c>
      <x:c r="C20" s="423" t="str">
        <x:v>Source + scope review</x:v>
      </x:c>
      <x:c r="D20" s="423" t="str">
        <x:v>24h</x:v>
      </x:c>
      <x:c r="E20" s="423" t="str">
        <x:v>Có</x:v>
      </x:c>
      <x:c r="F20" s="485" t="str">
        <x:v>Không</x:v>
      </x:c>
      <x:c r="G20" s="423" t="str">
        <x:v>Mất hiệu lực</x:v>
      </x:c>
      <x:c r="H20" s="423" t="str">
        <x:v>Không lưu</x:v>
      </x:c>
    </x:row>
    <x:row r="21" ht="48" customHeight="1">
      <x:c r="A21" s="423" t="str">
        <x:v>destructive_change</x:v>
      </x:c>
      <x:c r="B21" s="423" t="str">
        <x:v>Xóa/overwrite/migrate</x:v>
      </x:c>
      <x:c r="C21" s="423" t="str">
        <x:v>Backup + exact target + rollback</x:v>
      </x:c>
      <x:c r="D21" s="423" t="str">
        <x:v>2h</x:v>
      </x:c>
      <x:c r="E21" s="423" t="str">
        <x:v>Có</x:v>
      </x:c>
      <x:c r="F21" s="485" t="str">
        <x:v>Không</x:v>
      </x:c>
      <x:c r="G21" s="423" t="str">
        <x:v>Mất hiệu lực</x:v>
      </x:c>
      <x:c r="H21" s="423" t="str">
        <x:v>Dừng</x:v>
      </x:c>
    </x:row>
    <x:row r="22" ht="48" customHeight="1">
      <x:c r="A22" s="423" t="str">
        <x:v>external_communication</x:v>
      </x:c>
      <x:c r="B22" s="423" t="str">
        <x:v>Gửi/publish/invite</x:v>
      </x:c>
      <x:c r="C22" s="423" t="str">
        <x:v>Recipient resolution + content preview</x:v>
      </x:c>
      <x:c r="D22" s="423" t="str">
        <x:v>2h</x:v>
      </x:c>
      <x:c r="E22" s="423" t="str">
        <x:v>Có</x:v>
      </x:c>
      <x:c r="F22" s="485" t="str">
        <x:v>Không</x:v>
      </x:c>
      <x:c r="G22" s="423" t="str">
        <x:v>Mất hiệu lực</x:v>
      </x:c>
      <x:c r="H22" s="423" t="str">
        <x:v>Không gửi</x:v>
      </x:c>
    </x:row>
    <x:row r="25" ht="24" customHeight="1">
      <x:c r="A25" s="478" t="str">
        <x:v>CÂU LỆNH CHO NGƯỜI MỚI</x:v>
      </x:c>
      <x:c r="B25" s="478" t="str">
        <x:v>CÂU LỆNH CHO NGƯỜI MỚI</x:v>
      </x:c>
      <x:c r="C25" s="478" t="str">
        <x:v>CÂU LỆNH CHO NGƯỜI MỚI</x:v>
      </x:c>
      <x:c r="D25" s="478" t="str">
        <x:v>CÂU LỆNH CHO NGƯỜI MỚI</x:v>
      </x:c>
      <x:c r="E25" s="478" t="str">
        <x:v>CÂU LỆNH CHO NGƯỜI MỚI</x:v>
      </x:c>
      <x:c r="F25" s="478" t="str">
        <x:v>CÂU LỆNH CHO NGƯỜI MỚI</x:v>
      </x:c>
      <x:c r="G25" s="478" t="str">
        <x:v>CÂU LỆNH CHO NGƯỜI MỚI</x:v>
      </x:c>
      <x:c r="H25" s="478" t="str">
        <x:v>CÂU LỆNH CHO NGƯỜI MỚI</x:v>
      </x:c>
    </x:row>
    <x:row r="26" ht="30" customHeight="1">
      <x:c r="A26" s="423" t="str">
        <x:v>1. Trong chat: Dùng $p2p-eval tạo 5 ca thật, 2 baseline + 2 P2P mỗi ca; không điền giả.</x:v>
      </x:c>
      <x:c r="B26" s="423"/>
      <x:c r="C26" s="423"/>
      <x:c r="D26" s="423"/>
      <x:c r="E26" s="423"/>
      <x:c r="F26" s="423"/>
      <x:c r="G26" s="423"/>
      <x:c r="H26" s="423"/>
    </x:row>
    <x:row r="27" ht="30" customHeight="1">
      <x:c r="A27" s="423" t="str">
        <x:v>2. Trong chat: Dùng $p2p-approval chuẩn bị gate; chạy kỹ thuật trước và không tự duyệt.</x:v>
      </x:c>
      <x:c r="B27" s="423"/>
      <x:c r="C27" s="423"/>
      <x:c r="D27" s="423"/>
      <x:c r="E27" s="423"/>
      <x:c r="F27" s="423"/>
      <x:c r="G27" s="423"/>
      <x:c r="H27" s="423"/>
    </x:row>
    <x:row r="28" ht="30" customHeight="1">
      <x:c r="A28" s="423" t="str">
        <x:v>3. PowerShell: py .p2p/system/scripts/p2p_gate.py prepare --project . --subject &lt;candidate&gt; --rollback &lt;previous&gt; --scope &lt;scope&gt; --risk-summary &lt;risk&gt;</x:v>
      </x:c>
      <x:c r="B28" s="423"/>
      <x:c r="C28" s="423"/>
      <x:c r="D28" s="423"/>
      <x:c r="E28" s="423"/>
      <x:c r="F28" s="423"/>
      <x:c r="G28" s="423"/>
      <x:c r="H28" s="423"/>
    </x:row>
    <x:row r="29" ht="30" customHeight="1">
      <x:c r="A29" s="423" t="str">
        <x:v>4. Người dùng tự chạy next_command được in ra và gõ đúng phrase tương tác.</x:v>
      </x:c>
      <x:c r="B29" s="423"/>
      <x:c r="C29" s="423"/>
      <x:c r="D29" s="423"/>
      <x:c r="E29" s="423"/>
      <x:c r="F29" s="423"/>
      <x:c r="G29" s="423"/>
      <x:c r="H29" s="423"/>
    </x:row>
    <x:row r="30" ht="30" customHeight="1">
      <x:c r="A30" s="423" t="str">
        <x:v>5. Sau đó: py .p2p/system/scripts/p2p_gate.py finalize --technical-report &lt;report&gt; --approval &lt;record&gt; --subject &lt;candidate&gt;</x:v>
      </x:c>
      <x:c r="B30" s="423"/>
      <x:c r="C30" s="423"/>
      <x:c r="D30" s="423"/>
      <x:c r="E30" s="423"/>
      <x:c r="F30" s="423"/>
      <x:c r="G30" s="423"/>
      <x:c r="H30" s="423"/>
    </x:row>
    <x:row r="31" ht="30" customHeight="1">
      <x:c r="A31" s="423" t="str">
        <x:v>6. Chỉ release_decision=APPROVED cho đúng hash mới được tiếp tục; finalize không tự deploy.</x:v>
      </x:c>
      <x:c r="B31" s="423"/>
      <x:c r="C31" s="423"/>
      <x:c r="D31" s="423"/>
      <x:c r="E31" s="423"/>
      <x:c r="F31" s="423"/>
      <x:c r="G31" s="423"/>
      <x:c r="H31" s="423"/>
    </x:row>
  </x:sheetData>
  <x:mergeCells>
    <x:mergeCell ref="A1:H1"/>
    <x:mergeCell ref="A2:H2"/>
    <x:mergeCell ref="A14:H14"/>
    <x:mergeCell ref="A25:H25"/>
    <x:mergeCell ref="A26:H26"/>
    <x:mergeCell ref="A27:H27"/>
    <x:mergeCell ref="A28:H28"/>
    <x:mergeCell ref="A29:H29"/>
    <x:mergeCell ref="A30:H30"/>
    <x:mergeCell ref="A31:H31"/>
  </x:mergeCells>
  <x:pageMargins left="0.7" right="0.7" top="0.75" bottom="0.75" header="0.3" footer="0.3"/>
</x:worksheet>
</file>